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kt-cloudmirror\Dropbox\CKT-CRG-KPA-JCD\CKT Hardware 2026\Masterlist\"/>
    </mc:Choice>
  </mc:AlternateContent>
  <xr:revisionPtr revIDLastSave="0" documentId="13_ncr:1_{FA741247-1190-4C1A-A245-55D73440D159}" xr6:coauthVersionLast="47" xr6:coauthVersionMax="47" xr10:uidLastSave="{00000000-0000-0000-0000-000000000000}"/>
  <bookViews>
    <workbookView xWindow="-120" yWindow="-120" windowWidth="29040" windowHeight="15720" xr2:uid="{9D9972BC-C4F9-4362-AAD3-EE53E5193546}"/>
  </bookViews>
  <sheets>
    <sheet name="CKT Hardware List" sheetId="1" r:id="rId1"/>
    <sheet name="SOLD" sheetId="3" r:id="rId2"/>
    <sheet name="Details" sheetId="2" r:id="rId3"/>
  </sheets>
  <definedNames>
    <definedName name="_xlnm._FilterDatabase" localSheetId="0" hidden="1">'CKT Hardware List'!$A$3:$AH$401</definedName>
    <definedName name="HighlightRow">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7" i="1" l="1"/>
  <c r="A116" i="1"/>
  <c r="A115" i="1"/>
  <c r="A114" i="1"/>
  <c r="A113" i="1"/>
  <c r="A47" i="1"/>
  <c r="A6" i="1"/>
  <c r="A5" i="1"/>
  <c r="A118" i="1"/>
  <c r="A107" i="1"/>
  <c r="A106" i="1"/>
  <c r="A105" i="1"/>
  <c r="A186" i="1"/>
  <c r="A185" i="1"/>
  <c r="A184" i="1"/>
  <c r="A183" i="1"/>
  <c r="A182" i="1"/>
  <c r="A181" i="1"/>
  <c r="A180" i="1"/>
  <c r="A179" i="1"/>
  <c r="A101" i="1"/>
  <c r="A100" i="1"/>
  <c r="A99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83" i="1"/>
  <c r="A82" i="1"/>
  <c r="A188" i="1"/>
  <c r="A81" i="1"/>
  <c r="A80" i="1"/>
  <c r="A79" i="1"/>
  <c r="A78" i="1"/>
  <c r="A77" i="1"/>
  <c r="A43" i="1"/>
  <c r="A42" i="1"/>
  <c r="A41" i="1"/>
  <c r="A40" i="1"/>
  <c r="A213" i="1"/>
  <c r="A134" i="1"/>
  <c r="A133" i="1"/>
  <c r="A210" i="1"/>
  <c r="A209" i="1"/>
  <c r="A132" i="1"/>
  <c r="A129" i="1"/>
  <c r="A130" i="1"/>
  <c r="A131" i="1"/>
  <c r="A128" i="1"/>
  <c r="A127" i="1"/>
  <c r="A125" i="1"/>
  <c r="A124" i="1"/>
  <c r="A122" i="1"/>
  <c r="A111" i="1"/>
  <c r="A112" i="1"/>
  <c r="A110" i="1"/>
  <c r="A208" i="1"/>
  <c r="A109" i="1"/>
  <c r="A108" i="1"/>
  <c r="A87" i="1"/>
  <c r="A88" i="1"/>
  <c r="A89" i="1"/>
  <c r="A90" i="1"/>
  <c r="A86" i="1"/>
  <c r="A96" i="1"/>
  <c r="A94" i="1"/>
  <c r="A93" i="1"/>
  <c r="A91" i="1"/>
  <c r="A76" i="1"/>
  <c r="A75" i="1"/>
  <c r="A84" i="1"/>
  <c r="A48" i="1"/>
  <c r="A97" i="1"/>
  <c r="A121" i="1"/>
  <c r="A120" i="1"/>
  <c r="A119" i="1"/>
  <c r="A49" i="1"/>
  <c r="A102" i="1"/>
  <c r="A85" i="1"/>
  <c r="A173" i="1"/>
  <c r="A45" i="1"/>
  <c r="A44" i="1"/>
  <c r="A202" i="1"/>
  <c r="A207" i="1"/>
  <c r="A205" i="1"/>
  <c r="A206" i="1"/>
  <c r="A204" i="1"/>
  <c r="A203" i="1"/>
  <c r="A216" i="1"/>
  <c r="A215" i="1"/>
  <c r="A39" i="1"/>
  <c r="A187" i="1"/>
  <c r="A98" i="1"/>
  <c r="A178" i="1"/>
  <c r="A177" i="1"/>
  <c r="A176" i="1"/>
  <c r="A175" i="1"/>
  <c r="A174" i="1"/>
  <c r="A172" i="1"/>
  <c r="A171" i="1"/>
  <c r="A74" i="1"/>
  <c r="A73" i="1"/>
  <c r="A72" i="1"/>
  <c r="A38" i="1"/>
  <c r="A37" i="1"/>
  <c r="A36" i="1"/>
  <c r="A35" i="1"/>
  <c r="A34" i="1"/>
  <c r="A33" i="1"/>
  <c r="A32" i="1"/>
  <c r="A170" i="1"/>
  <c r="A169" i="1"/>
  <c r="A168" i="1"/>
  <c r="A167" i="1"/>
  <c r="A166" i="1"/>
  <c r="A165" i="1"/>
  <c r="A164" i="1"/>
  <c r="A163" i="1"/>
  <c r="A71" i="1"/>
  <c r="A162" i="1"/>
  <c r="A161" i="1"/>
  <c r="A70" i="1"/>
  <c r="A69" i="1"/>
  <c r="A160" i="1"/>
  <c r="A68" i="1"/>
  <c r="A67" i="1"/>
  <c r="A66" i="1"/>
  <c r="A65" i="1"/>
  <c r="A64" i="1"/>
  <c r="A31" i="1"/>
  <c r="A30" i="1"/>
  <c r="A29" i="1"/>
  <c r="A28" i="1"/>
  <c r="A27" i="1"/>
  <c r="A26" i="1"/>
  <c r="A159" i="1"/>
  <c r="A158" i="1"/>
  <c r="A157" i="1"/>
  <c r="A156" i="1"/>
  <c r="A155" i="1"/>
  <c r="A154" i="1"/>
  <c r="A153" i="1"/>
  <c r="A152" i="1"/>
  <c r="A95" i="1"/>
  <c r="A63" i="1"/>
  <c r="A62" i="1"/>
  <c r="A61" i="1"/>
  <c r="A60" i="1"/>
  <c r="A59" i="1"/>
  <c r="A58" i="1"/>
  <c r="A25" i="1"/>
  <c r="A24" i="1"/>
  <c r="A23" i="1"/>
  <c r="A22" i="1"/>
  <c r="A21" i="1"/>
  <c r="A20" i="1"/>
  <c r="A19" i="1"/>
  <c r="A151" i="1"/>
  <c r="A214" i="1"/>
  <c r="A142" i="1"/>
  <c r="A141" i="1"/>
  <c r="A140" i="1"/>
  <c r="A139" i="1"/>
  <c r="A138" i="1"/>
  <c r="A137" i="1"/>
  <c r="A136" i="1"/>
  <c r="A135" i="1"/>
  <c r="A150" i="1"/>
  <c r="A149" i="1"/>
  <c r="A148" i="1"/>
  <c r="A147" i="1"/>
  <c r="A146" i="1"/>
  <c r="A145" i="1"/>
  <c r="A104" i="1"/>
  <c r="A103" i="1"/>
  <c r="A144" i="1"/>
  <c r="A143" i="1"/>
  <c r="A57" i="1"/>
  <c r="A56" i="1"/>
  <c r="A55" i="1"/>
  <c r="A54" i="1"/>
  <c r="A53" i="1"/>
  <c r="A52" i="1"/>
  <c r="A51" i="1"/>
  <c r="A50" i="1"/>
  <c r="A10" i="1"/>
  <c r="A11" i="1"/>
  <c r="A12" i="1"/>
  <c r="A13" i="1"/>
  <c r="A14" i="1"/>
  <c r="A15" i="1"/>
  <c r="A16" i="1"/>
  <c r="A17" i="1"/>
  <c r="A18" i="1"/>
  <c r="A9" i="1"/>
  <c r="B401" i="1"/>
  <c r="A212" i="1"/>
  <c r="A211" i="1"/>
  <c r="A126" i="1"/>
  <c r="A8" i="1"/>
  <c r="A123" i="1"/>
  <c r="A92" i="1"/>
  <c r="A7" i="1"/>
  <c r="A46" i="1"/>
  <c r="A4" i="1"/>
  <c r="A128" i="3"/>
  <c r="A127" i="3"/>
  <c r="A126" i="3"/>
  <c r="A125" i="3"/>
  <c r="X97" i="3"/>
  <c r="Y97" i="3" s="1"/>
  <c r="X96" i="3"/>
  <c r="Y96" i="3" s="1"/>
  <c r="X94" i="3"/>
  <c r="Y94" i="3" s="1"/>
  <c r="X84" i="3"/>
  <c r="Y84" i="3" s="1"/>
  <c r="X83" i="3"/>
  <c r="Y83" i="3" s="1"/>
  <c r="X82" i="3"/>
  <c r="Y82" i="3" s="1"/>
  <c r="X81" i="3"/>
  <c r="Y81" i="3" s="1"/>
  <c r="X80" i="3"/>
  <c r="Y80" i="3" s="1"/>
  <c r="X79" i="3"/>
  <c r="Y79" i="3" s="1"/>
  <c r="X78" i="3"/>
  <c r="Y78" i="3" s="1"/>
  <c r="X73" i="3"/>
  <c r="Y73" i="3" s="1"/>
  <c r="X72" i="3"/>
  <c r="Y72" i="3" s="1"/>
  <c r="X71" i="3"/>
  <c r="Y71" i="3" s="1"/>
  <c r="X70" i="3"/>
  <c r="Y70" i="3" s="1"/>
  <c r="X69" i="3"/>
  <c r="Y69" i="3" s="1"/>
  <c r="X68" i="3"/>
  <c r="Y68" i="3" s="1"/>
  <c r="X67" i="3"/>
  <c r="Y67" i="3" s="1"/>
  <c r="X66" i="3"/>
  <c r="Y66" i="3" s="1"/>
  <c r="X65" i="3"/>
  <c r="Y65" i="3" s="1"/>
  <c r="X64" i="3"/>
  <c r="Y64" i="3" s="1"/>
  <c r="X63" i="3"/>
  <c r="Y63" i="3" s="1"/>
  <c r="X84" i="1"/>
  <c r="Y84" i="1" s="1"/>
  <c r="A337" i="1"/>
  <c r="A338" i="1"/>
  <c r="A339" i="1"/>
  <c r="A336" i="1"/>
  <c r="X285" i="1"/>
  <c r="Y285" i="1" s="1"/>
  <c r="X284" i="1"/>
  <c r="Y284" i="1" s="1"/>
  <c r="X283" i="1"/>
  <c r="Y283" i="1" s="1"/>
  <c r="X282" i="1"/>
  <c r="Y282" i="1" s="1"/>
  <c r="X281" i="1"/>
  <c r="Y281" i="1" s="1"/>
  <c r="X280" i="1"/>
  <c r="Y280" i="1" s="1"/>
  <c r="X279" i="1"/>
  <c r="Y279" i="1" s="1"/>
  <c r="X278" i="1"/>
  <c r="Y278" i="1" s="1"/>
  <c r="X277" i="1"/>
  <c r="Y277" i="1" s="1"/>
  <c r="X276" i="1"/>
  <c r="Y276" i="1" s="1"/>
  <c r="X401" i="1"/>
  <c r="Y401" i="1" s="1"/>
  <c r="X307" i="1" l="1"/>
  <c r="Y307" i="1" s="1"/>
  <c r="X305" i="1"/>
  <c r="Y305" i="1" s="1"/>
  <c r="X295" i="1"/>
  <c r="Y295" i="1" s="1"/>
  <c r="X294" i="1"/>
  <c r="Y294" i="1" s="1"/>
  <c r="X293" i="1"/>
  <c r="Y293" i="1" s="1"/>
  <c r="X292" i="1"/>
  <c r="Y292" i="1" s="1"/>
  <c r="X291" i="1"/>
  <c r="Y291" i="1" s="1"/>
  <c r="X290" i="1"/>
  <c r="Y290" i="1" s="1"/>
  <c r="X308" i="1"/>
  <c r="Y308" i="1" s="1"/>
  <c r="X289" i="1"/>
  <c r="Y289" i="1" s="1"/>
  <c r="X21" i="1" l="1"/>
  <c r="X14" i="1"/>
  <c r="X13" i="1"/>
  <c r="X51" i="1"/>
  <c r="X52" i="1"/>
  <c r="X53" i="1"/>
  <c r="X54" i="1"/>
  <c r="X192" i="1"/>
  <c r="Z142" i="1"/>
  <c r="X142" i="1"/>
  <c r="X77" i="1"/>
  <c r="Z139" i="1"/>
  <c r="X139" i="1"/>
  <c r="X190" i="1"/>
  <c r="X32" i="1"/>
  <c r="X55" i="1"/>
  <c r="X104" i="1"/>
  <c r="Z141" i="1"/>
  <c r="X141" i="1"/>
  <c r="X176" i="1"/>
  <c r="X175" i="1"/>
  <c r="X133" i="1"/>
  <c r="X207" i="1"/>
  <c r="X118" i="1"/>
  <c r="AB149" i="1"/>
  <c r="X149" i="1"/>
  <c r="AB138" i="1"/>
  <c r="X138" i="1"/>
  <c r="AB137" i="1"/>
  <c r="X137" i="1"/>
  <c r="AB189" i="1"/>
  <c r="X189" i="1"/>
  <c r="AB200" i="1"/>
  <c r="X200" i="1"/>
  <c r="AB199" i="1"/>
  <c r="X199" i="1"/>
  <c r="AB198" i="1"/>
  <c r="X198" i="1"/>
  <c r="AB120" i="1"/>
  <c r="X120" i="1"/>
  <c r="AB187" i="1"/>
  <c r="X187" i="1"/>
  <c r="AB151" i="1"/>
  <c r="X151" i="1"/>
  <c r="AB112" i="1"/>
  <c r="X112" i="1"/>
  <c r="AB180" i="1"/>
  <c r="X180" i="1"/>
  <c r="AB186" i="1"/>
  <c r="X186" i="1"/>
  <c r="AB185" i="1"/>
  <c r="X185" i="1"/>
  <c r="AB184" i="1"/>
  <c r="X184" i="1"/>
  <c r="AB183" i="1"/>
  <c r="X183" i="1"/>
  <c r="AB182" i="1"/>
  <c r="X182" i="1"/>
  <c r="AB181" i="1"/>
  <c r="X181" i="1"/>
  <c r="AB179" i="1"/>
  <c r="X179" i="1"/>
  <c r="AB126" i="1"/>
  <c r="X126" i="1"/>
  <c r="AB197" i="1"/>
  <c r="X197" i="1"/>
  <c r="AB196" i="1"/>
  <c r="X196" i="1"/>
  <c r="AB105" i="1"/>
  <c r="X105" i="1"/>
  <c r="AB195" i="1"/>
  <c r="X195" i="1"/>
  <c r="AB201" i="1"/>
  <c r="X201" i="1"/>
  <c r="AB127" i="1"/>
  <c r="X127" i="1"/>
  <c r="AB48" i="1"/>
  <c r="X48" i="1"/>
  <c r="AB170" i="1"/>
  <c r="X170" i="1"/>
  <c r="AB122" i="1"/>
  <c r="X122" i="1"/>
  <c r="AB85" i="1"/>
  <c r="X85" i="1"/>
  <c r="AB66" i="1"/>
  <c r="X66" i="1"/>
  <c r="AB70" i="1"/>
  <c r="X70" i="1"/>
  <c r="AB163" i="1"/>
  <c r="X163" i="1"/>
  <c r="AB64" i="1"/>
  <c r="X64" i="1"/>
  <c r="AB47" i="1"/>
  <c r="X47" i="1"/>
  <c r="AB45" i="1"/>
  <c r="X45" i="1"/>
  <c r="AB119" i="1"/>
  <c r="X119" i="1"/>
  <c r="AB49" i="1"/>
  <c r="X49" i="1"/>
  <c r="AB46" i="1"/>
  <c r="X46" i="1"/>
  <c r="AB75" i="1"/>
  <c r="X75" i="1"/>
  <c r="AB76" i="1"/>
  <c r="X76" i="1"/>
  <c r="AB65" i="1"/>
  <c r="X65" i="1"/>
  <c r="AB160" i="1"/>
  <c r="X160" i="1"/>
  <c r="AB161" i="1"/>
  <c r="X161" i="1"/>
  <c r="AB68" i="1"/>
  <c r="X68" i="1"/>
  <c r="AB67" i="1"/>
  <c r="X67" i="1"/>
  <c r="AB165" i="1"/>
  <c r="X165" i="1"/>
  <c r="AB81" i="1"/>
  <c r="X81" i="1"/>
  <c r="AB79" i="1"/>
  <c r="X79" i="1"/>
  <c r="AB5" i="1"/>
  <c r="X5" i="1"/>
  <c r="AB44" i="1"/>
  <c r="X44" i="1"/>
  <c r="AB8" i="1"/>
  <c r="X8" i="1"/>
  <c r="AB4" i="1"/>
  <c r="X4" i="1"/>
  <c r="AB41" i="1"/>
  <c r="X41" i="1"/>
  <c r="AB42" i="1"/>
  <c r="X42" i="1"/>
  <c r="AB123" i="1"/>
  <c r="X123" i="1"/>
  <c r="AB7" i="1"/>
  <c r="X7" i="1"/>
  <c r="AB103" i="1"/>
  <c r="X103" i="1"/>
  <c r="AB56" i="1"/>
  <c r="X56" i="1"/>
  <c r="AB57" i="1"/>
  <c r="X57" i="1"/>
  <c r="AB143" i="1"/>
  <c r="X143" i="1"/>
  <c r="AB136" i="1"/>
  <c r="X136" i="1"/>
  <c r="AB144" i="1"/>
  <c r="X144" i="1"/>
  <c r="AB18" i="1"/>
  <c r="X18" i="1"/>
  <c r="AB15" i="1"/>
  <c r="X15" i="1"/>
  <c r="AB150" i="1"/>
  <c r="X150" i="1"/>
  <c r="AB16" i="1"/>
  <c r="X16" i="1"/>
  <c r="AB148" i="1"/>
  <c r="X148" i="1"/>
  <c r="AB12" i="1"/>
  <c r="X12" i="1"/>
  <c r="AB11" i="1"/>
  <c r="X11" i="1"/>
  <c r="AB164" i="1"/>
  <c r="X164" i="1"/>
  <c r="AB102" i="1"/>
  <c r="X102" i="1"/>
  <c r="AB111" i="1"/>
  <c r="X111" i="1"/>
  <c r="AB110" i="1"/>
  <c r="X110" i="1"/>
  <c r="AB153" i="1"/>
  <c r="X153" i="1"/>
  <c r="AB154" i="1"/>
  <c r="X154" i="1"/>
  <c r="AB90" i="1"/>
  <c r="X90" i="1"/>
  <c r="AB89" i="1"/>
  <c r="X89" i="1"/>
  <c r="AB88" i="1"/>
  <c r="X88" i="1"/>
  <c r="AB86" i="1"/>
  <c r="X86" i="1"/>
  <c r="AB87" i="1"/>
  <c r="X87" i="1"/>
  <c r="AB23" i="1"/>
  <c r="X23" i="1"/>
  <c r="AB24" i="1"/>
  <c r="X24" i="1"/>
  <c r="AB61" i="1"/>
  <c r="X61" i="1"/>
  <c r="AB60" i="1"/>
  <c r="X60" i="1"/>
  <c r="AB25" i="1"/>
  <c r="X25" i="1"/>
  <c r="AB152" i="1"/>
  <c r="X152" i="1"/>
  <c r="AB59" i="1"/>
  <c r="X59" i="1"/>
  <c r="AB58" i="1"/>
  <c r="X58" i="1"/>
  <c r="AB83" i="1"/>
  <c r="X83" i="1"/>
  <c r="AB147" i="1"/>
  <c r="X147" i="1"/>
  <c r="AB191" i="1"/>
  <c r="X191" i="1"/>
  <c r="AB193" i="1"/>
  <c r="X193" i="1"/>
  <c r="AB43" i="1"/>
  <c r="X43" i="1"/>
  <c r="AB140" i="1"/>
  <c r="X140" i="1"/>
  <c r="AB206" i="1"/>
  <c r="X206" i="1"/>
  <c r="AB205" i="1"/>
  <c r="X205" i="1"/>
  <c r="AB204" i="1"/>
  <c r="X204" i="1"/>
  <c r="AB107" i="1"/>
  <c r="X107" i="1"/>
  <c r="AB106" i="1"/>
  <c r="X106" i="1"/>
  <c r="AB109" i="1"/>
  <c r="X109" i="1"/>
  <c r="AB108" i="1"/>
  <c r="X108" i="1"/>
  <c r="AB96" i="1"/>
  <c r="X96" i="1"/>
  <c r="AB131" i="1"/>
  <c r="Z131" i="1"/>
  <c r="X131" i="1"/>
  <c r="AB130" i="1"/>
  <c r="Z130" i="1"/>
  <c r="X130" i="1"/>
  <c r="AB129" i="1"/>
  <c r="Z129" i="1"/>
  <c r="X129" i="1"/>
  <c r="AB128" i="1"/>
  <c r="Z128" i="1"/>
  <c r="X128" i="1"/>
  <c r="AB174" i="1"/>
  <c r="X174" i="1"/>
  <c r="AB169" i="1"/>
  <c r="X169" i="1"/>
  <c r="AB203" i="1"/>
  <c r="X203" i="1"/>
  <c r="AB124" i="1"/>
  <c r="X124" i="1"/>
  <c r="AB125" i="1"/>
  <c r="X125" i="1"/>
  <c r="AB132" i="1"/>
  <c r="X132" i="1"/>
  <c r="AB202" i="1"/>
  <c r="X202" i="1"/>
  <c r="AB172" i="1"/>
  <c r="X172" i="1"/>
  <c r="AB159" i="1"/>
  <c r="AB158" i="1"/>
  <c r="X158" i="1"/>
  <c r="AB157" i="1"/>
  <c r="X157" i="1"/>
  <c r="AB156" i="1"/>
  <c r="X156" i="1"/>
  <c r="AB155" i="1"/>
  <c r="X1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 Admin</author>
    <author/>
  </authors>
  <commentList>
    <comment ref="I3" authorId="0" shapeId="0" xr:uid="{B64E394C-EDBB-48C5-A2B7-EFE70C4BE089}">
      <text>
        <r>
          <rPr>
            <b/>
            <sz val="9"/>
            <color rgb="FF000000"/>
            <rFont val="Tahoma"/>
            <family val="2"/>
          </rPr>
          <t>Master 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Legends:
</t>
        </r>
        <r>
          <rPr>
            <sz val="9"/>
            <color rgb="FF000000"/>
            <rFont val="Tahoma"/>
            <family val="2"/>
          </rPr>
          <t xml:space="preserve">A = Being Used by Team Member
</t>
        </r>
        <r>
          <rPr>
            <sz val="9"/>
            <color rgb="FF000000"/>
            <rFont val="Tahoma"/>
            <family val="2"/>
          </rPr>
          <t xml:space="preserve">B = Being Used by Company/Student (Ex. Printer/Server/Phone)
</t>
        </r>
        <r>
          <rPr>
            <sz val="9"/>
            <color rgb="FF000000"/>
            <rFont val="Tahoma"/>
            <family val="2"/>
          </rPr>
          <t xml:space="preserve">C = Backup or Spare Item and/or holding for parts
</t>
        </r>
        <r>
          <rPr>
            <sz val="9"/>
            <color rgb="FF000000"/>
            <rFont val="Tahoma"/>
            <family val="2"/>
          </rPr>
          <t xml:space="preserve">D = For Sale at a Regular Price - Hold the price, item is good
</t>
        </r>
        <r>
          <rPr>
            <sz val="9"/>
            <color rgb="FF000000"/>
            <rFont val="Tahoma"/>
            <family val="2"/>
          </rPr>
          <t xml:space="preserve">E = For Sale at Blowout/Bargain Basement/Cheap Price - item is not good, take any offers above scrap value
</t>
        </r>
        <r>
          <rPr>
            <sz val="9"/>
            <color rgb="FF000000"/>
            <rFont val="Tahoma"/>
            <family val="2"/>
          </rPr>
          <t>F = Scrap - No Buyers - Need to take apart and scrap.</t>
        </r>
      </text>
    </comment>
    <comment ref="Z238" authorId="1" shapeId="0" xr:uid="{0F6238D1-2106-4817-ADCB-B5E138EBA769}">
      <text>
        <r>
          <rPr>
            <b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Recommendation:
Upgrade the Video Card
3,000-3,800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 Admin</author>
    <author/>
  </authors>
  <commentList>
    <comment ref="I3" authorId="0" shapeId="0" xr:uid="{F6694ECE-D2B4-4A11-AFA0-91329E8492E5}">
      <text>
        <r>
          <rPr>
            <b/>
            <sz val="9"/>
            <color rgb="FF000000"/>
            <rFont val="Tahoma"/>
            <family val="2"/>
          </rPr>
          <t>Master 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Legends:
</t>
        </r>
        <r>
          <rPr>
            <sz val="9"/>
            <color rgb="FF000000"/>
            <rFont val="Tahoma"/>
            <family val="2"/>
          </rPr>
          <t xml:space="preserve">A = Being Used by Team Member
</t>
        </r>
        <r>
          <rPr>
            <sz val="9"/>
            <color rgb="FF000000"/>
            <rFont val="Tahoma"/>
            <family val="2"/>
          </rPr>
          <t xml:space="preserve">B = Being Used by Company/Student (Ex. Printer/Server/Phone)
</t>
        </r>
        <r>
          <rPr>
            <sz val="9"/>
            <color rgb="FF000000"/>
            <rFont val="Tahoma"/>
            <family val="2"/>
          </rPr>
          <t xml:space="preserve">C = Backup or Spare Item and/or holding for parts
</t>
        </r>
        <r>
          <rPr>
            <sz val="9"/>
            <color rgb="FF000000"/>
            <rFont val="Tahoma"/>
            <family val="2"/>
          </rPr>
          <t xml:space="preserve">D = For Sale at a Regular Price - Hold the price, item is good
</t>
        </r>
        <r>
          <rPr>
            <sz val="9"/>
            <color rgb="FF000000"/>
            <rFont val="Tahoma"/>
            <family val="2"/>
          </rPr>
          <t xml:space="preserve">E = For Sale at Blowout/Bargain Basement/Cheap Price - item is not good, take any offers above scrap value
</t>
        </r>
        <r>
          <rPr>
            <sz val="9"/>
            <color rgb="FF000000"/>
            <rFont val="Tahoma"/>
            <family val="2"/>
          </rPr>
          <t>F = Scrap - No Buyers - Need to take apart and scrap.</t>
        </r>
      </text>
    </comment>
    <comment ref="Z25" authorId="1" shapeId="0" xr:uid="{796D930D-5FA4-441A-95F4-3D8626A7D93A}">
      <text>
        <r>
          <rPr>
            <b/>
            <sz val="9"/>
            <color rgb="FF000000"/>
            <rFont val="Tahoma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>Recommendation:
Upgrade the Video Card
3,000-3,800</t>
        </r>
      </text>
    </comment>
  </commentList>
</comments>
</file>

<file path=xl/sharedStrings.xml><?xml version="1.0" encoding="utf-8"?>
<sst xmlns="http://schemas.openxmlformats.org/spreadsheetml/2006/main" count="9606" uniqueCount="1134">
  <si>
    <t>CKT IT Hardware Inventory List</t>
  </si>
  <si>
    <t>CKT Item # / Code</t>
  </si>
  <si>
    <t>Hardware Type</t>
  </si>
  <si>
    <t>Ranking (Y)</t>
  </si>
  <si>
    <t>Dept</t>
  </si>
  <si>
    <t xml:space="preserve">Assigned
to? </t>
  </si>
  <si>
    <t>Location</t>
  </si>
  <si>
    <t>Notes</t>
  </si>
  <si>
    <t>Date Tested</t>
  </si>
  <si>
    <t>Hardware
Designation</t>
  </si>
  <si>
    <t>Qty</t>
  </si>
  <si>
    <t>Manufacturer</t>
  </si>
  <si>
    <t>Warranty</t>
  </si>
  <si>
    <t>Model #</t>
  </si>
  <si>
    <t>Serial #</t>
  </si>
  <si>
    <t xml:space="preserve">Screen
Size </t>
  </si>
  <si>
    <t>Processor Type / Screen Type</t>
  </si>
  <si>
    <t xml:space="preserve">Processor Speed </t>
  </si>
  <si>
    <t xml:space="preserve">Operating
System/Android Version/MAC OS </t>
  </si>
  <si>
    <t>Ram</t>
  </si>
  <si>
    <t>HD type</t>
  </si>
  <si>
    <t xml:space="preserve">HD/STORAGE
Capacity </t>
  </si>
  <si>
    <t>Operational Y/N</t>
  </si>
  <si>
    <t>PRICE PAID IN PESO</t>
  </si>
  <si>
    <t>PRICE PAID IN USD</t>
  </si>
  <si>
    <t>Current Repair Value in PESO</t>
  </si>
  <si>
    <t>Current Repair Value in USD</t>
  </si>
  <si>
    <t>Recommendations for improvement</t>
  </si>
  <si>
    <t xml:space="preserve">Price Estimate for the recommended improvement </t>
  </si>
  <si>
    <t>Notes Section (If it has all pieces, but is not operational, explain why)</t>
  </si>
  <si>
    <t>IT</t>
  </si>
  <si>
    <t>NONE</t>
  </si>
  <si>
    <t>C</t>
  </si>
  <si>
    <t>GENERIC</t>
  </si>
  <si>
    <t>NO</t>
  </si>
  <si>
    <t>USED</t>
  </si>
  <si>
    <t>MONITOR</t>
  </si>
  <si>
    <t>ACER</t>
  </si>
  <si>
    <t>S200HL</t>
  </si>
  <si>
    <t>ETLUG0R026213008212400</t>
  </si>
  <si>
    <t>20"</t>
  </si>
  <si>
    <t>60Hz</t>
  </si>
  <si>
    <t>YES</t>
  </si>
  <si>
    <t>n/a</t>
  </si>
  <si>
    <t>SAMSUNG</t>
  </si>
  <si>
    <t>2240BWT</t>
  </si>
  <si>
    <t>22"</t>
  </si>
  <si>
    <t>INSIGNIA</t>
  </si>
  <si>
    <t>NS-19E310A13</t>
  </si>
  <si>
    <t>B315EP500508</t>
  </si>
  <si>
    <t>19"</t>
  </si>
  <si>
    <t>B320EP504804</t>
  </si>
  <si>
    <t>POWER CABLE</t>
  </si>
  <si>
    <t>GOOD</t>
  </si>
  <si>
    <t>VGA CABLE</t>
  </si>
  <si>
    <t>HDMI CABLE</t>
  </si>
  <si>
    <t>DVI CABLE</t>
  </si>
  <si>
    <t>DISPLAY PORT CABLE</t>
  </si>
  <si>
    <t>VGA TO HDMI ADAPTER</t>
  </si>
  <si>
    <t>MOUSE PAD</t>
  </si>
  <si>
    <t>ACCEPTABLE</t>
  </si>
  <si>
    <t>RAM (DESKTOP)</t>
  </si>
  <si>
    <t>NOT TESTED</t>
  </si>
  <si>
    <t>HP</t>
  </si>
  <si>
    <t>MTA8ATF1G64AZ</t>
  </si>
  <si>
    <t>2666MHz</t>
  </si>
  <si>
    <t>8GB</t>
  </si>
  <si>
    <t>HDD 2TB STORAGE (BIG)</t>
  </si>
  <si>
    <t>NO GOOD / ERROR TO INITIALIZE</t>
  </si>
  <si>
    <t>F</t>
  </si>
  <si>
    <t>WD PURPLE</t>
  </si>
  <si>
    <t>WD20PURX</t>
  </si>
  <si>
    <t>WCC4M3LU9ZUY</t>
  </si>
  <si>
    <t>HDD</t>
  </si>
  <si>
    <t>2TB</t>
  </si>
  <si>
    <t>BUY NEW IF NECESSARY</t>
  </si>
  <si>
    <t>UNABLE TO INITIALIZE DISK</t>
  </si>
  <si>
    <t>WD BLUE</t>
  </si>
  <si>
    <t>WD6400AAKS</t>
  </si>
  <si>
    <t>WMASY8165246</t>
  </si>
  <si>
    <t>WD BLACK</t>
  </si>
  <si>
    <t>WD2000FAEX</t>
  </si>
  <si>
    <t>WCAY00513276</t>
  </si>
  <si>
    <t>WD2003FZEX</t>
  </si>
  <si>
    <t>WMC5C0E6Y6PT</t>
  </si>
  <si>
    <t>PCIe NETWORK ADAPTER</t>
  </si>
  <si>
    <t>SERVER</t>
  </si>
  <si>
    <t>TP-LINK</t>
  </si>
  <si>
    <t>TX401(US)</t>
  </si>
  <si>
    <t>Y232001000035</t>
  </si>
  <si>
    <t>10Gbps</t>
  </si>
  <si>
    <t>8 PORT DESKTOP SWITCH</t>
  </si>
  <si>
    <t>TL-SG108S</t>
  </si>
  <si>
    <t>Y234074000102</t>
  </si>
  <si>
    <t>1000Mbps</t>
  </si>
  <si>
    <t>Y234074000104</t>
  </si>
  <si>
    <t>24 PORT GIGABIT SWITCH</t>
  </si>
  <si>
    <t>TL-SG1024DE</t>
  </si>
  <si>
    <t>Y226034000477</t>
  </si>
  <si>
    <t xml:space="preserve">GOOD </t>
  </si>
  <si>
    <t>NETGEAR</t>
  </si>
  <si>
    <t>JGS524E</t>
  </si>
  <si>
    <t>2H26293V50110</t>
  </si>
  <si>
    <t>WHOLE HOME MESH WIFI UNIT</t>
  </si>
  <si>
    <t>AC1200 DECO M4</t>
  </si>
  <si>
    <t>22264E6003112</t>
  </si>
  <si>
    <t>867MBPS</t>
  </si>
  <si>
    <t>22264E6003111</t>
  </si>
  <si>
    <t>867Mbps</t>
  </si>
  <si>
    <t>22264E6003105</t>
  </si>
  <si>
    <t>LAPTOP</t>
  </si>
  <si>
    <t>SERVER ROOM</t>
  </si>
  <si>
    <t xml:space="preserve">DELL </t>
  </si>
  <si>
    <t>15.6"</t>
  </si>
  <si>
    <t>I7 - 8TH GEN.</t>
  </si>
  <si>
    <t>2.00GHZ</t>
  </si>
  <si>
    <t>Windows 10</t>
  </si>
  <si>
    <t xml:space="preserve">8GB </t>
  </si>
  <si>
    <t>SSD</t>
  </si>
  <si>
    <t>256GB</t>
  </si>
  <si>
    <t>last used by Kate</t>
  </si>
  <si>
    <t>TABLET</t>
  </si>
  <si>
    <t>CKT</t>
  </si>
  <si>
    <t>JOMAR</t>
  </si>
  <si>
    <t>DEV/HOME</t>
  </si>
  <si>
    <t>A</t>
  </si>
  <si>
    <t>GALAXY TAB E SM-T560NU</t>
  </si>
  <si>
    <t>R52H30GZF2R</t>
  </si>
  <si>
    <t>10"</t>
  </si>
  <si>
    <t>Version 6.0</t>
  </si>
  <si>
    <t>1.5GB</t>
  </si>
  <si>
    <t>16GB</t>
  </si>
  <si>
    <t>MBS</t>
  </si>
  <si>
    <t>ADMIN/HOME</t>
  </si>
  <si>
    <t>R52J2033TZJ</t>
  </si>
  <si>
    <t>Version 7.1</t>
  </si>
  <si>
    <t>MARICEL</t>
  </si>
  <si>
    <t>ADMIN ROOM</t>
  </si>
  <si>
    <t>GALAXY TAB A SM-T580</t>
  </si>
  <si>
    <t>R52K310XKLH</t>
  </si>
  <si>
    <t>Version 8.1</t>
  </si>
  <si>
    <t>2GB</t>
  </si>
  <si>
    <t>HP 14 - ep0063cl</t>
  </si>
  <si>
    <t>5CG3402KXK</t>
  </si>
  <si>
    <t>14"</t>
  </si>
  <si>
    <t>i3 - 13th Gen.</t>
  </si>
  <si>
    <t>1.2GHz</t>
  </si>
  <si>
    <t>12GB</t>
  </si>
  <si>
    <t>512GB</t>
  </si>
  <si>
    <t>Last used by James</t>
  </si>
  <si>
    <t>R52KB0TPK6E</t>
  </si>
  <si>
    <t>DELL</t>
  </si>
  <si>
    <t>2709WB</t>
  </si>
  <si>
    <t>27"</t>
  </si>
  <si>
    <t>75Hz</t>
  </si>
  <si>
    <t>JAMES</t>
  </si>
  <si>
    <t>S3222HN</t>
  </si>
  <si>
    <t>Cn-04DC52-TV100-35J-0BMV</t>
  </si>
  <si>
    <t>32"</t>
  </si>
  <si>
    <t>AMINAH</t>
  </si>
  <si>
    <t>HOME</t>
  </si>
  <si>
    <t>HP27f</t>
  </si>
  <si>
    <t>3CM993194W</t>
  </si>
  <si>
    <t>KING</t>
  </si>
  <si>
    <t>LG</t>
  </si>
  <si>
    <t>32UN550</t>
  </si>
  <si>
    <t>308NTSU5A806</t>
  </si>
  <si>
    <t>31.5"</t>
  </si>
  <si>
    <t>B</t>
  </si>
  <si>
    <t>Cn-04DC52-TV100-35J-08XV</t>
  </si>
  <si>
    <t>Last used by King, Deployed to Admins</t>
  </si>
  <si>
    <t>JONARD</t>
  </si>
  <si>
    <t>KA272 E</t>
  </si>
  <si>
    <t>MMTKVAA00831109F453W01</t>
  </si>
  <si>
    <t>100Hz</t>
  </si>
  <si>
    <t>Used by JONARD</t>
  </si>
  <si>
    <t>MARCH</t>
  </si>
  <si>
    <t>DEV ROOM</t>
  </si>
  <si>
    <t>C27F391FHN</t>
  </si>
  <si>
    <t>092JHCNWA02530J</t>
  </si>
  <si>
    <t>70Hz</t>
  </si>
  <si>
    <t>Used by LIAN</t>
  </si>
  <si>
    <t>JHASON</t>
  </si>
  <si>
    <t>S2721NX</t>
  </si>
  <si>
    <t>760A3F0W0004</t>
  </si>
  <si>
    <t>Returned by Jhason</t>
  </si>
  <si>
    <t>AIRCON</t>
  </si>
  <si>
    <t>ADMIN</t>
  </si>
  <si>
    <t>CARRIER</t>
  </si>
  <si>
    <t>42CSH009308</t>
  </si>
  <si>
    <t>D202274210116A13170093</t>
  </si>
  <si>
    <t>1Ph</t>
  </si>
  <si>
    <t>DEV</t>
  </si>
  <si>
    <t>FOR REPAIR @ DEV ROOM</t>
  </si>
  <si>
    <t>D202274210116A13170028</t>
  </si>
  <si>
    <t>FOR REPLANCEMENT / REPAIR</t>
  </si>
  <si>
    <t>THE AIRCON NOT COOLING</t>
  </si>
  <si>
    <t>Last used @ DEV ROOM</t>
  </si>
  <si>
    <t>MIDEA</t>
  </si>
  <si>
    <t>FP-51ARA006HMNV-N4</t>
  </si>
  <si>
    <t>-</t>
  </si>
  <si>
    <t>ROOM</t>
  </si>
  <si>
    <t>BFM03-230-STD</t>
  </si>
  <si>
    <t>0718-0111998</t>
  </si>
  <si>
    <t>1 YEAR</t>
  </si>
  <si>
    <t>FP-42AST020KEIV-F4 / FP-38AST020KEIV-F4</t>
  </si>
  <si>
    <t>54122000E8C43050810399</t>
  </si>
  <si>
    <t>New</t>
  </si>
  <si>
    <t>Used by DEV ROOM</t>
  </si>
  <si>
    <t>E2210F</t>
  </si>
  <si>
    <t>CN-0T776R-72872-990-1JUL</t>
  </si>
  <si>
    <t>RETURNED TO NONE/SERVER ROOM</t>
  </si>
  <si>
    <t>AOC</t>
  </si>
  <si>
    <t>TFT23W90PS</t>
  </si>
  <si>
    <t>R495JA016575</t>
  </si>
  <si>
    <t>23"</t>
  </si>
  <si>
    <t>80Hz</t>
  </si>
  <si>
    <t>BACKUP PLUS HUB</t>
  </si>
  <si>
    <t>SEAGATE</t>
  </si>
  <si>
    <t>SRD0PV1</t>
  </si>
  <si>
    <t>NA9RS2JB</t>
  </si>
  <si>
    <t>8TB</t>
  </si>
  <si>
    <t>NA9RS2GZ</t>
  </si>
  <si>
    <t>WIFI ROUTER</t>
  </si>
  <si>
    <t>ARCHER AX3000 PRO</t>
  </si>
  <si>
    <t>WIRELESS MOUSE</t>
  </si>
  <si>
    <t>PROMATE</t>
  </si>
  <si>
    <t>Last used by Joy - Transfer to Kate</t>
  </si>
  <si>
    <t>CHRISTOPHER</t>
  </si>
  <si>
    <t>APPLE</t>
  </si>
  <si>
    <t>A2485 (Silver)</t>
  </si>
  <si>
    <t>P4X0J769JM</t>
  </si>
  <si>
    <t>16"</t>
  </si>
  <si>
    <t>M1 Max Chip</t>
  </si>
  <si>
    <t>3.22 GHz</t>
  </si>
  <si>
    <t>MacOS</t>
  </si>
  <si>
    <t>32GB</t>
  </si>
  <si>
    <t>1TB</t>
  </si>
  <si>
    <t>Last used by March 251016</t>
  </si>
  <si>
    <t>A2485 (Space Gray)</t>
  </si>
  <si>
    <t>NT7NP93P22</t>
  </si>
  <si>
    <t>INSPIRON 15-3583</t>
  </si>
  <si>
    <t>654L5Z2</t>
  </si>
  <si>
    <t>i5 - 8TH GEN.</t>
  </si>
  <si>
    <t>1.80GHZ</t>
  </si>
  <si>
    <t>WIN 11</t>
  </si>
  <si>
    <t>JESAMINE</t>
  </si>
  <si>
    <t>A2338</t>
  </si>
  <si>
    <t>FVFH853FQ05D</t>
  </si>
  <si>
    <t>13"</t>
  </si>
  <si>
    <t>MAC OS</t>
  </si>
  <si>
    <t>LENOVO</t>
  </si>
  <si>
    <t>82FG</t>
  </si>
  <si>
    <t>SP10H55210</t>
  </si>
  <si>
    <t>15"</t>
  </si>
  <si>
    <t>i7 - 10th Gen.</t>
  </si>
  <si>
    <t>2.8GHz</t>
  </si>
  <si>
    <t>WINDOWS 11</t>
  </si>
  <si>
    <t>500GB</t>
  </si>
  <si>
    <t>A2941</t>
  </si>
  <si>
    <t>JGCP94C2N5</t>
  </si>
  <si>
    <t>APPLE M2 PRO</t>
  </si>
  <si>
    <t>MACOS</t>
  </si>
  <si>
    <t>last used by Jhason - Transfer to Jomar</t>
  </si>
  <si>
    <t>N23C3</t>
  </si>
  <si>
    <t>NXKHDAA004315075CB3400</t>
  </si>
  <si>
    <t>Ryzen 5 7520U</t>
  </si>
  <si>
    <t>2.8Ghz</t>
  </si>
  <si>
    <t>Windows 11 Home</t>
  </si>
  <si>
    <t>Pavillion Laptop 15-eg2053cl</t>
  </si>
  <si>
    <t>SCD221172NG</t>
  </si>
  <si>
    <t>i5 - 12Th Gen.</t>
  </si>
  <si>
    <t>1.3 GHz</t>
  </si>
  <si>
    <t>Windows</t>
  </si>
  <si>
    <t>Last used by Alexes</t>
  </si>
  <si>
    <t>A1990</t>
  </si>
  <si>
    <t>C02Z86EDLVCF</t>
  </si>
  <si>
    <t>15.4"</t>
  </si>
  <si>
    <t xml:space="preserve">i7 </t>
  </si>
  <si>
    <t>2.6GHZ</t>
  </si>
  <si>
    <t>MacOS CATALINA</t>
  </si>
  <si>
    <t>Last used by Kiko</t>
  </si>
  <si>
    <t>5CG3481TK5</t>
  </si>
  <si>
    <t>Windows 11</t>
  </si>
  <si>
    <t>2 Years</t>
  </si>
  <si>
    <t xml:space="preserve"> Aspire A315-24PT</t>
  </si>
  <si>
    <t>NXKHDAA006352032873400</t>
  </si>
  <si>
    <t>NXKHDAA0063510EA943400</t>
  </si>
  <si>
    <t>STUDENT</t>
  </si>
  <si>
    <t>SHON</t>
  </si>
  <si>
    <t>ideapad 1i</t>
  </si>
  <si>
    <t>PF42JHXB</t>
  </si>
  <si>
    <t>Pentium Silver N6000</t>
  </si>
  <si>
    <t>1.1GHz</t>
  </si>
  <si>
    <t>4GB</t>
  </si>
  <si>
    <t>120GB</t>
  </si>
  <si>
    <t>DESKTOP</t>
  </si>
  <si>
    <t>Dell XPS 8950</t>
  </si>
  <si>
    <t>0R14PYA00</t>
  </si>
  <si>
    <t>i7 - 12th Gen.</t>
  </si>
  <si>
    <t>3.2 GHz</t>
  </si>
  <si>
    <t>Windows Server</t>
  </si>
  <si>
    <t>SSD/HDD</t>
  </si>
  <si>
    <t xml:space="preserve">512GB/1TB </t>
  </si>
  <si>
    <t>Dell Inspiron 3910</t>
  </si>
  <si>
    <t>i3910=5924BLU-PUS</t>
  </si>
  <si>
    <t>i5 - 12th Gen.</t>
  </si>
  <si>
    <t>2.5 GHz</t>
  </si>
  <si>
    <t xml:space="preserve">256GB/1TB </t>
  </si>
  <si>
    <t xml:space="preserve">KING </t>
  </si>
  <si>
    <t>R52HB0A4SWF</t>
  </si>
  <si>
    <t>version 8.1</t>
  </si>
  <si>
    <t>GALAXY TAB A</t>
  </si>
  <si>
    <t>R52H30X8LJT</t>
  </si>
  <si>
    <t>8"</t>
  </si>
  <si>
    <t>2TB EXTERNAL HDD SLIM</t>
  </si>
  <si>
    <t>EXTERNAL HARD DRIVE</t>
  </si>
  <si>
    <t>DEV ROOM/HOME</t>
  </si>
  <si>
    <t>5TB one touch HDD</t>
  </si>
  <si>
    <t>NABNR822</t>
  </si>
  <si>
    <t>5TB</t>
  </si>
  <si>
    <t>WIFI DONGLE</t>
  </si>
  <si>
    <t>MOKIN</t>
  </si>
  <si>
    <t>MOUC0501</t>
  </si>
  <si>
    <t>X0026152F</t>
  </si>
  <si>
    <t>BARCODE SCANNER</t>
  </si>
  <si>
    <t>TEKLEAD</t>
  </si>
  <si>
    <t>T-1902BL</t>
  </si>
  <si>
    <t>T1902BL23I19296</t>
  </si>
  <si>
    <t>ALEXES</t>
  </si>
  <si>
    <t>R52HB0A4RFD</t>
  </si>
  <si>
    <t>GALAXY TAB A SM-T510</t>
  </si>
  <si>
    <t>R52N30C7VCY</t>
  </si>
  <si>
    <t>Version 11</t>
  </si>
  <si>
    <t>3GB</t>
  </si>
  <si>
    <t>Clix-8</t>
  </si>
  <si>
    <t>MOUSE</t>
  </si>
  <si>
    <t>80INT</t>
  </si>
  <si>
    <t>MSI Gaming Mouse</t>
  </si>
  <si>
    <t>FANTECH</t>
  </si>
  <si>
    <t>W188</t>
  </si>
  <si>
    <t>CN-011D3V-71581-23S-10DQ</t>
  </si>
  <si>
    <t>LOGI</t>
  </si>
  <si>
    <t>PRINTER</t>
  </si>
  <si>
    <t>Epson 3in1 Printer L3210</t>
  </si>
  <si>
    <t>X8HV178077</t>
  </si>
  <si>
    <t>XAGM083307</t>
  </si>
  <si>
    <t>Last used by Maricel</t>
  </si>
  <si>
    <t xml:space="preserve">AMINAH </t>
  </si>
  <si>
    <t>CELLPHONE</t>
  </si>
  <si>
    <t>IPHONE</t>
  </si>
  <si>
    <t>IPHONE 8</t>
  </si>
  <si>
    <t>VIVO</t>
  </si>
  <si>
    <t>Vivo 1919</t>
  </si>
  <si>
    <t>last used by Maricel</t>
  </si>
  <si>
    <t>RENATO</t>
  </si>
  <si>
    <t>T1902BL23I19290</t>
  </si>
  <si>
    <t>REDRAGON</t>
  </si>
  <si>
    <t>M609</t>
  </si>
  <si>
    <t>RDM60924053102282</t>
  </si>
  <si>
    <t>NEW</t>
  </si>
  <si>
    <t>M610</t>
  </si>
  <si>
    <t>RDM61024033100309</t>
  </si>
  <si>
    <t>RAPPO</t>
  </si>
  <si>
    <t>B20 SILENT PINK</t>
  </si>
  <si>
    <t>4272300B20A1521</t>
  </si>
  <si>
    <t>Use by Alexes</t>
  </si>
  <si>
    <t>4272300B20A1522</t>
  </si>
  <si>
    <t>TP LINK</t>
  </si>
  <si>
    <t xml:space="preserve">AC1200 ARCHER C54  </t>
  </si>
  <si>
    <t>22440F8005537</t>
  </si>
  <si>
    <t>CRIMPING TOOL FAS</t>
  </si>
  <si>
    <t>VIGIL</t>
  </si>
  <si>
    <t>GEARUPANDWIN</t>
  </si>
  <si>
    <t>CARD READER</t>
  </si>
  <si>
    <t>XYX</t>
  </si>
  <si>
    <t xml:space="preserve">FAST TROUGH RJ45 </t>
  </si>
  <si>
    <t>RJ45 CAT6</t>
  </si>
  <si>
    <t>THERMAL PASTE</t>
  </si>
  <si>
    <t>STAR 160</t>
  </si>
  <si>
    <t>GALAXY TAB A7 LITE</t>
  </si>
  <si>
    <t>R9PTB17S6XE</t>
  </si>
  <si>
    <t>Version 14</t>
  </si>
  <si>
    <t>RETURNED BY MARICEL</t>
  </si>
  <si>
    <t>100M CAT6 INTERNET CALE</t>
  </si>
  <si>
    <t>BELDEN</t>
  </si>
  <si>
    <t>CAT6</t>
  </si>
  <si>
    <t>R9PTB17S6VF</t>
  </si>
  <si>
    <t>8'</t>
  </si>
  <si>
    <t>Version 12</t>
  </si>
  <si>
    <t>GALAXY TAB A8</t>
  </si>
  <si>
    <t>R8YWA0GP5GH</t>
  </si>
  <si>
    <t>10.5"</t>
  </si>
  <si>
    <t>64GB</t>
  </si>
  <si>
    <t>NABNR8F9</t>
  </si>
  <si>
    <t>SOLID STATE DRIVE (SSD)</t>
  </si>
  <si>
    <t>WESTERN DIGITAL</t>
  </si>
  <si>
    <t>WDBNCE5000PNC-WRSN</t>
  </si>
  <si>
    <t>19130B800346</t>
  </si>
  <si>
    <t>WDBB8H0010BNC</t>
  </si>
  <si>
    <t>SANDISK</t>
  </si>
  <si>
    <t>SDSSDA 2.5" SSD DRIVE</t>
  </si>
  <si>
    <t>ADATA</t>
  </si>
  <si>
    <t>ASP550SS-120GM</t>
  </si>
  <si>
    <t>NO GOOD / BAD SECTORS</t>
  </si>
  <si>
    <t>PATRIOT</t>
  </si>
  <si>
    <t>PBU240GS25SSDR</t>
  </si>
  <si>
    <t>240GB</t>
  </si>
  <si>
    <t>STILL HAVE RESERVE SSD / SCRAP</t>
  </si>
  <si>
    <t>NA9QQCBK</t>
  </si>
  <si>
    <t xml:space="preserve">M.2 ENCLOSURE w/ 500GB </t>
  </si>
  <si>
    <t>SHOULE</t>
  </si>
  <si>
    <t>NVME / M.2</t>
  </si>
  <si>
    <t>SSD SATA6 ENLOSURE</t>
  </si>
  <si>
    <t>UNITEK</t>
  </si>
  <si>
    <t>DISKGUARD LIMPID R</t>
  </si>
  <si>
    <t>C7CVW4ZTJC6C</t>
  </si>
  <si>
    <t>IOS Version 16.7.9</t>
  </si>
  <si>
    <t>Given to CRG</t>
  </si>
  <si>
    <t>GALAXY TAB A (2016)</t>
  </si>
  <si>
    <t>R52JA1GEWEV</t>
  </si>
  <si>
    <t>Version 8.1.0</t>
  </si>
  <si>
    <t>R52HC0TZ35T</t>
  </si>
  <si>
    <t>R52J105NTAV</t>
  </si>
  <si>
    <t>R52KB0YYZ3F</t>
  </si>
  <si>
    <t>HP PAVILLION 15 CC123CL</t>
  </si>
  <si>
    <t>5CD812BZFW</t>
  </si>
  <si>
    <t>i5 - 8th Gen.</t>
  </si>
  <si>
    <t>1.6GHz</t>
  </si>
  <si>
    <t>last used by Jenziel</t>
  </si>
  <si>
    <t>5CD812BZHQ</t>
  </si>
  <si>
    <t>Last used by Joanna</t>
  </si>
  <si>
    <t>CCTV</t>
  </si>
  <si>
    <t>OFFICE</t>
  </si>
  <si>
    <t>TAPO</t>
  </si>
  <si>
    <t>TAPO C520WS</t>
  </si>
  <si>
    <t>WIRELESS DOORBELL</t>
  </si>
  <si>
    <t>CYBERTEC</t>
  </si>
  <si>
    <t>KINETIC DR111</t>
  </si>
  <si>
    <t>HEATGUN</t>
  </si>
  <si>
    <t>it</t>
  </si>
  <si>
    <t>85A-1</t>
  </si>
  <si>
    <t>RAM (LAPTOP)</t>
  </si>
  <si>
    <t>KINGSTON</t>
  </si>
  <si>
    <t>KVR32S22S6/8</t>
  </si>
  <si>
    <t>3200MHz</t>
  </si>
  <si>
    <t>NXKHDAA0064091358C3400</t>
  </si>
  <si>
    <t>COLEEN</t>
  </si>
  <si>
    <t>HP-LAPTOP 17-cn4xxx</t>
  </si>
  <si>
    <t>5CG435359Z</t>
  </si>
  <si>
    <t>Intel Core 5 120U</t>
  </si>
  <si>
    <t>1.4GHz</t>
  </si>
  <si>
    <t>512 GB</t>
  </si>
  <si>
    <t>DELIVER TO COLEEN</t>
  </si>
  <si>
    <t>Inspiron 15 3535</t>
  </si>
  <si>
    <t>BW70Y64</t>
  </si>
  <si>
    <t>AMD Ryzen 7 7730U</t>
  </si>
  <si>
    <t>2.0 GHz</t>
  </si>
  <si>
    <t>Last used by Jomar - Transfer to James</t>
  </si>
  <si>
    <t>PORTABLE MONITOR</t>
  </si>
  <si>
    <t>2  Years</t>
  </si>
  <si>
    <t>PM161Q</t>
  </si>
  <si>
    <t>MMV6XAA001444005185V01</t>
  </si>
  <si>
    <t>OLD MODEL BUT WORKING AND UPDATED VERSION</t>
  </si>
  <si>
    <t>iPad Air 2</t>
  </si>
  <si>
    <t>DLXNLBJ8G5VT</t>
  </si>
  <si>
    <t>Version 15.8.3</t>
  </si>
  <si>
    <t>16 GB</t>
  </si>
  <si>
    <t>Lenovo IdeaPad5 15ITL05</t>
  </si>
  <si>
    <t>LNVNB161216</t>
  </si>
  <si>
    <t>i7-1165G7 11th Gen</t>
  </si>
  <si>
    <t>2.8 GHz</t>
  </si>
  <si>
    <t>R52JB0ANYEP</t>
  </si>
  <si>
    <t>RELEASED TO ADMIN AMINAH</t>
  </si>
  <si>
    <t>i3 - 8th Gen</t>
  </si>
  <si>
    <t>2.20GHz</t>
  </si>
  <si>
    <t>240 GB</t>
  </si>
  <si>
    <t>EXTERNAL KEYBOARD</t>
  </si>
  <si>
    <t>R52HC0KVN4R</t>
  </si>
  <si>
    <t>2 YEARS</t>
  </si>
  <si>
    <t>092JHCNXB00400Y</t>
  </si>
  <si>
    <t>72 Hz</t>
  </si>
  <si>
    <t>JOANNA</t>
  </si>
  <si>
    <t>GENERIC MOUSE</t>
  </si>
  <si>
    <t>AULA MOUSE</t>
  </si>
  <si>
    <t>F805</t>
  </si>
  <si>
    <t>MSF805ED240102745</t>
  </si>
  <si>
    <t>1NH9N94</t>
  </si>
  <si>
    <t>Ryzen 7 7730U</t>
  </si>
  <si>
    <t>2.0Ghz</t>
  </si>
  <si>
    <t xml:space="preserve">Windows 11 </t>
  </si>
  <si>
    <t>D7T8N94</t>
  </si>
  <si>
    <t>G7B9N94</t>
  </si>
  <si>
    <t>76B9N94</t>
  </si>
  <si>
    <t>MACBOOK PRO 14</t>
  </si>
  <si>
    <t>CXJ5XXVXD1</t>
  </si>
  <si>
    <t>APPLE M4 PRO</t>
  </si>
  <si>
    <t>MACINTOSH HD</t>
  </si>
  <si>
    <t>24GB</t>
  </si>
  <si>
    <t>MACBOOK PRO</t>
  </si>
  <si>
    <t>F9VVKV30JN</t>
  </si>
  <si>
    <t>MSI</t>
  </si>
  <si>
    <t>G274QPF</t>
  </si>
  <si>
    <t>CC2HJ65504818</t>
  </si>
  <si>
    <t>S27D36CGAN</t>
  </si>
  <si>
    <t>First used by Admin</t>
  </si>
  <si>
    <t>MMV6XAA00144400525V01</t>
  </si>
  <si>
    <t>SAMSUNG GALAXY TAB A9+</t>
  </si>
  <si>
    <t>SM-X210</t>
  </si>
  <si>
    <t>R95Y608N26P</t>
  </si>
  <si>
    <t>R95Y608BM7J</t>
  </si>
  <si>
    <t>R95Y608NM1W</t>
  </si>
  <si>
    <t>SAMSUNG GALAXY TAB A</t>
  </si>
  <si>
    <t>SM-T580</t>
  </si>
  <si>
    <t>R52K609HRLA</t>
  </si>
  <si>
    <t>first use</t>
  </si>
  <si>
    <t>ADMIN ROOM/HOME</t>
  </si>
  <si>
    <t>R52M10576SR</t>
  </si>
  <si>
    <t>R52K50LNH0Y</t>
  </si>
  <si>
    <t>R52H61HDHKD</t>
  </si>
  <si>
    <t>TERA</t>
  </si>
  <si>
    <t>D5100</t>
  </si>
  <si>
    <t>NETUMSCAN</t>
  </si>
  <si>
    <t>NSL8</t>
  </si>
  <si>
    <t>X003AS39DZ</t>
  </si>
  <si>
    <t>KUIIYER</t>
  </si>
  <si>
    <t>KU061</t>
  </si>
  <si>
    <t>X004FCRJ6X</t>
  </si>
  <si>
    <t>NADAMOO</t>
  </si>
  <si>
    <t>BUR3149</t>
  </si>
  <si>
    <t>X0027EH0AL</t>
  </si>
  <si>
    <t>NOT WORKING</t>
  </si>
  <si>
    <t>BLACKBERRY</t>
  </si>
  <si>
    <t>KEY2-LITE</t>
  </si>
  <si>
    <t>X0043G8OLL</t>
  </si>
  <si>
    <t>Inspiron 15 5000</t>
  </si>
  <si>
    <t>D8HQHT2</t>
  </si>
  <si>
    <t>1.80GHz</t>
  </si>
  <si>
    <t>SMART WATCH</t>
  </si>
  <si>
    <t>NOT YET CHECK</t>
  </si>
  <si>
    <t>HEADSET</t>
  </si>
  <si>
    <t>TOOL BOX</t>
  </si>
  <si>
    <t>MACBOOK PRO 16</t>
  </si>
  <si>
    <t>DG6L913K0D</t>
  </si>
  <si>
    <t>16-core CPU</t>
  </si>
  <si>
    <t>48GB</t>
  </si>
  <si>
    <t>CR6V2K613W</t>
  </si>
  <si>
    <t>14-core CPU</t>
  </si>
  <si>
    <t>36GB</t>
  </si>
  <si>
    <t>L</t>
  </si>
  <si>
    <t>DESK</t>
  </si>
  <si>
    <t>T</t>
  </si>
  <si>
    <t>CP</t>
  </si>
  <si>
    <t>M</t>
  </si>
  <si>
    <t>WR</t>
  </si>
  <si>
    <t>WIRELESS ROUTER</t>
  </si>
  <si>
    <t>SW</t>
  </si>
  <si>
    <t>SWITCH</t>
  </si>
  <si>
    <t>EHD</t>
  </si>
  <si>
    <t>HD</t>
  </si>
  <si>
    <t>HARD DISK DRIVE</t>
  </si>
  <si>
    <t>BH</t>
  </si>
  <si>
    <t>BACKUP HUB</t>
  </si>
  <si>
    <t>NA</t>
  </si>
  <si>
    <t>NETWORK ADAPTER</t>
  </si>
  <si>
    <t>P</t>
  </si>
  <si>
    <t>KB</t>
  </si>
  <si>
    <t>KEYBOARD</t>
  </si>
  <si>
    <t>M000</t>
  </si>
  <si>
    <t>CT</t>
  </si>
  <si>
    <t>CRIMPING TOOL</t>
  </si>
  <si>
    <t>MP</t>
  </si>
  <si>
    <t>CR</t>
  </si>
  <si>
    <t>RJ</t>
  </si>
  <si>
    <t>RJ45 CONNECTOR</t>
  </si>
  <si>
    <t>WM</t>
  </si>
  <si>
    <t>TP</t>
  </si>
  <si>
    <t>BS</t>
  </si>
  <si>
    <t>R</t>
  </si>
  <si>
    <t>RAM</t>
  </si>
  <si>
    <t>VH</t>
  </si>
  <si>
    <t>WD</t>
  </si>
  <si>
    <t>WE</t>
  </si>
  <si>
    <t>WIFI EXTENDER</t>
  </si>
  <si>
    <t>PC/VC/HC/DC</t>
  </si>
  <si>
    <t>CABLES</t>
  </si>
  <si>
    <t>C6</t>
  </si>
  <si>
    <t>CAT6 CABLE</t>
  </si>
  <si>
    <t>E</t>
  </si>
  <si>
    <t>5TB ENCLOSURE</t>
  </si>
  <si>
    <t>SS</t>
  </si>
  <si>
    <t>SOLID STATE DRIVE</t>
  </si>
  <si>
    <t>NV</t>
  </si>
  <si>
    <t>NVME / M.2 ENCLOSURE</t>
  </si>
  <si>
    <t>SATA6 ENCLOSURE</t>
  </si>
  <si>
    <t>CTV</t>
  </si>
  <si>
    <t>DB</t>
  </si>
  <si>
    <t>DOOR BELL</t>
  </si>
  <si>
    <t>HG</t>
  </si>
  <si>
    <t>TB</t>
  </si>
  <si>
    <t>SMW</t>
  </si>
  <si>
    <t>HS</t>
  </si>
  <si>
    <t>Last used by Jomar 251103</t>
  </si>
  <si>
    <t>MX MASTER 4</t>
  </si>
  <si>
    <t>LOGITECH</t>
  </si>
  <si>
    <t>2529ZA38L6V9</t>
  </si>
  <si>
    <t>2529ZAA8KWJ8</t>
  </si>
  <si>
    <t>2529ZAR6VAA8</t>
  </si>
  <si>
    <t>2529ZAL8L2V8</t>
  </si>
  <si>
    <t>First used</t>
  </si>
  <si>
    <t>650L</t>
  </si>
  <si>
    <t>2528APD9RDL8</t>
  </si>
  <si>
    <t>2532APNR13E8</t>
  </si>
  <si>
    <t>2530APDKQ5H8</t>
  </si>
  <si>
    <t>5CG52425JF</t>
  </si>
  <si>
    <t>First Used</t>
  </si>
  <si>
    <t>CC2H85702295</t>
  </si>
  <si>
    <t>CC2H85707345</t>
  </si>
  <si>
    <t>MMV6XAA00153010F1B5V01</t>
  </si>
  <si>
    <t>MMV6XAA001530110275V01</t>
  </si>
  <si>
    <t>4TB</t>
  </si>
  <si>
    <t>SYMBOL</t>
  </si>
  <si>
    <t>GENERIC MODEL</t>
  </si>
  <si>
    <t>MR66VB</t>
  </si>
  <si>
    <t>Last used by Aminah - 251126</t>
  </si>
  <si>
    <t>USED IN FILE SERVER</t>
  </si>
  <si>
    <t>1H95270C4J</t>
  </si>
  <si>
    <t>Laptop17-cn4153c1</t>
  </si>
  <si>
    <t>P112F</t>
  </si>
  <si>
    <t>7MFSBD4</t>
  </si>
  <si>
    <t>2.0GHz</t>
  </si>
  <si>
    <t>2PHTBD4</t>
  </si>
  <si>
    <t>MMV6XAA001530110295V01</t>
  </si>
  <si>
    <t>MMV6XAA0015301101C5V01</t>
  </si>
  <si>
    <t>MMV6XAA00153010EF05V01</t>
  </si>
  <si>
    <t>Omen Max</t>
  </si>
  <si>
    <t>Intel Core Ultra</t>
  </si>
  <si>
    <t>Last used by March - Transfer to Jomar</t>
  </si>
  <si>
    <t>Last used by King - Transfer to Christoper</t>
  </si>
  <si>
    <t>Last used by Kate</t>
  </si>
  <si>
    <t>ANDREI</t>
  </si>
  <si>
    <t>Last used by Kate - Transfer to Andrei</t>
  </si>
  <si>
    <t>Returned by King</t>
  </si>
  <si>
    <t>ANGELICA</t>
  </si>
  <si>
    <t>Last used by March - Transfer to Christoper</t>
  </si>
  <si>
    <t>Last Accountabilty / Transfer or exchange of devices</t>
  </si>
  <si>
    <t>Date Arrival</t>
  </si>
  <si>
    <t>New or Used</t>
  </si>
  <si>
    <t>Transfer Date</t>
  </si>
  <si>
    <t xml:space="preserve"> CORRUPT OS OR DAMAGE SSD</t>
  </si>
  <si>
    <t>BATTERY ISSUE NO POWER</t>
  </si>
  <si>
    <t>GOOD BUT NEED TO REPAIR KEYBOARD AND TOUCHPAD</t>
  </si>
  <si>
    <t>3168NGW</t>
  </si>
  <si>
    <t>5CD81BZHQ</t>
  </si>
  <si>
    <t>I5 - 8TH - Gen</t>
  </si>
  <si>
    <t>1.8GHz</t>
  </si>
  <si>
    <t>GOOD NEED TO REFORMAT OUTDATED OS</t>
  </si>
  <si>
    <t>MISSING TWO KEYBOARD KEYS</t>
  </si>
  <si>
    <t>BROKEN HINGE</t>
  </si>
  <si>
    <t>SOME KEYBOARD KEYS NOT WORKING</t>
  </si>
  <si>
    <t>PF417EK4</t>
  </si>
  <si>
    <t>4RRK5Z2</t>
  </si>
  <si>
    <t>INSPIRON 15 - 5000</t>
  </si>
  <si>
    <t>BKS8GT2</t>
  </si>
  <si>
    <t>DAMAGE LCD / SCREEN NOT CLEAR</t>
  </si>
  <si>
    <t>THIS IS THE LAPTOP THAT CURRENTLY REPAIRING AT THE SHOP FOR CHIP/IC REPLACEMENT DUE TO WATER ACCIDENT</t>
  </si>
  <si>
    <t>IDEAPAD 330</t>
  </si>
  <si>
    <t>KEYBOARD MALFUNCTION AND NO POWER</t>
  </si>
  <si>
    <t>PAVILION 590</t>
  </si>
  <si>
    <t>2MO92656MN</t>
  </si>
  <si>
    <t>I3 - 9th Gen.</t>
  </si>
  <si>
    <t>3.60GHz</t>
  </si>
  <si>
    <t>MICROSOFT</t>
  </si>
  <si>
    <t>3850TAZ206R</t>
  </si>
  <si>
    <t>USE FOR SERVER ROOM / SOMETIMES FOR MEETING</t>
  </si>
  <si>
    <t>N/A</t>
  </si>
  <si>
    <t>NOT TESTED IF ITS STILL WORKING</t>
  </si>
  <si>
    <t>DYNEX</t>
  </si>
  <si>
    <t>DX-LCD19-09</t>
  </si>
  <si>
    <t>H8983JA015653</t>
  </si>
  <si>
    <t xml:space="preserve">DAMAGE LCD / BLOATED BATTERY </t>
  </si>
  <si>
    <t>NO POWER</t>
  </si>
  <si>
    <t>EPSON</t>
  </si>
  <si>
    <t>HP OFFICEJET 4635</t>
  </si>
  <si>
    <t>CN57T6B22P</t>
  </si>
  <si>
    <t>NO GOOD</t>
  </si>
  <si>
    <t>MSK-112</t>
  </si>
  <si>
    <t>91379-545-4741903-00803</t>
  </si>
  <si>
    <t>GOOD BUT SLOW RESPONDS / RIGHT CLICK NOT WORKING</t>
  </si>
  <si>
    <t>FGMCP0BW2BHC4G</t>
  </si>
  <si>
    <t>TPC-C002M</t>
  </si>
  <si>
    <t>COMPAQ</t>
  </si>
  <si>
    <t>GOOD BUT SLOW RESPONDS</t>
  </si>
  <si>
    <t>PSB1014049830</t>
  </si>
  <si>
    <t>ALIENWARE</t>
  </si>
  <si>
    <t>CN-040CM0-71616-09D6</t>
  </si>
  <si>
    <t>Y-R0056</t>
  </si>
  <si>
    <t>2213SCG05DS8</t>
  </si>
  <si>
    <t>8INT</t>
  </si>
  <si>
    <t>MISSING SSD</t>
  </si>
  <si>
    <t>Good, inserted sim General Contact Information</t>
  </si>
  <si>
    <t xml:space="preserve"> 2 YEARS</t>
  </si>
  <si>
    <t>MMV6XAA001538214365V01</t>
  </si>
  <si>
    <t>MMV6XAA001538213A75V01</t>
  </si>
  <si>
    <t>MMV6XAA001538213D55V01</t>
  </si>
  <si>
    <t>MMV6XAA001538214375V01</t>
  </si>
  <si>
    <t>IT ROOM</t>
  </si>
  <si>
    <t>LENOVO-FLEX 2</t>
  </si>
  <si>
    <t>W14639769</t>
  </si>
  <si>
    <t>15.5"</t>
  </si>
  <si>
    <t xml:space="preserve"> I5 </t>
  </si>
  <si>
    <t>2.40GHZ</t>
  </si>
  <si>
    <t>WIN10</t>
  </si>
  <si>
    <t xml:space="preserve">6GB </t>
  </si>
  <si>
    <t>SATA</t>
  </si>
  <si>
    <t>Used</t>
  </si>
  <si>
    <t>lat used by Shon</t>
  </si>
  <si>
    <t xml:space="preserve">LAPTOP </t>
  </si>
  <si>
    <t>LENOVO IDEAPAD Z570</t>
  </si>
  <si>
    <t>WB03852983</t>
  </si>
  <si>
    <t>I5 - 2ND GEN.</t>
  </si>
  <si>
    <t xml:space="preserve">240GB </t>
  </si>
  <si>
    <t>lat used by Jomar</t>
  </si>
  <si>
    <t>HP-B&amp;O</t>
  </si>
  <si>
    <t>5cd812bzfw</t>
  </si>
  <si>
    <t>I5 - 8TH GEN</t>
  </si>
  <si>
    <t>last used by roan</t>
  </si>
  <si>
    <t>TOSHIBA</t>
  </si>
  <si>
    <t>P75-A7200</t>
  </si>
  <si>
    <t>6D110514C</t>
  </si>
  <si>
    <t>17"</t>
  </si>
  <si>
    <t xml:space="preserve">INTEL I7 </t>
  </si>
  <si>
    <t>2.4GHZ</t>
  </si>
  <si>
    <t>last used by Alexes</t>
  </si>
  <si>
    <t>DELL LATITUDE E6410</t>
  </si>
  <si>
    <t>PP27LA</t>
  </si>
  <si>
    <t xml:space="preserve">INTEL I7  </t>
  </si>
  <si>
    <t>2.80GHZ</t>
  </si>
  <si>
    <t>160GB</t>
  </si>
  <si>
    <t>Stock at Conference Cabinet</t>
  </si>
  <si>
    <t>SONY</t>
  </si>
  <si>
    <t xml:space="preserve">SONY VAIO </t>
  </si>
  <si>
    <t>SVS13AA11L</t>
  </si>
  <si>
    <t>I7 - 3RD GEN.</t>
  </si>
  <si>
    <t>2.90GHZ</t>
  </si>
  <si>
    <t>last used by Joana</t>
  </si>
  <si>
    <t>HP PAVILLION DV6-3230US</t>
  </si>
  <si>
    <t>CNF050CPG3</t>
  </si>
  <si>
    <t xml:space="preserve">INTEL I3 </t>
  </si>
  <si>
    <t>DELL M4300</t>
  </si>
  <si>
    <t>PP04X</t>
  </si>
  <si>
    <t xml:space="preserve">C2D </t>
  </si>
  <si>
    <t>2.50GHZ</t>
  </si>
  <si>
    <t>winxp</t>
  </si>
  <si>
    <t>120gb</t>
  </si>
  <si>
    <t>last used by ian</t>
  </si>
  <si>
    <t>I5 - 4th Gen.</t>
  </si>
  <si>
    <t xml:space="preserve"> </t>
  </si>
  <si>
    <t>WINDOWS 7</t>
  </si>
  <si>
    <t>6GB</t>
  </si>
  <si>
    <t>700GB</t>
  </si>
  <si>
    <t>bring by CRG</t>
  </si>
  <si>
    <t>HP-Pavillion Laptop 15-eg2053cl</t>
  </si>
  <si>
    <t>SCD22172P7</t>
  </si>
  <si>
    <t>Bring By CRG</t>
  </si>
  <si>
    <t>INSPIRON 15 - 3583</t>
  </si>
  <si>
    <t>W1J46</t>
  </si>
  <si>
    <t>Last Used by Jhason</t>
  </si>
  <si>
    <t>Last Used by March</t>
  </si>
  <si>
    <t>5cd812bzhq</t>
  </si>
  <si>
    <t>I5 - 8TH GEN.</t>
  </si>
  <si>
    <t>250GB</t>
  </si>
  <si>
    <t>Last used by Coleen</t>
  </si>
  <si>
    <t>Envy x360</t>
  </si>
  <si>
    <t>8CG24438LQ</t>
  </si>
  <si>
    <t>new</t>
  </si>
  <si>
    <t>Bring by CRG</t>
  </si>
  <si>
    <t>HP PAVILLION</t>
  </si>
  <si>
    <t>HP PAVILLION 15 Notebook PC</t>
  </si>
  <si>
    <t>i5 - 5th Gen.</t>
  </si>
  <si>
    <t>2.2GHz</t>
  </si>
  <si>
    <t>WINDOWS 10</t>
  </si>
  <si>
    <t>used</t>
  </si>
  <si>
    <t>Last used by Dawn</t>
  </si>
  <si>
    <t>INSPIRON 15 -5584</t>
  </si>
  <si>
    <t>7YHGR</t>
  </si>
  <si>
    <t>WIN11</t>
  </si>
  <si>
    <t>Last Used by Maricel</t>
  </si>
  <si>
    <t>last used by Anna</t>
  </si>
  <si>
    <t>Lenovo ideapad 330</t>
  </si>
  <si>
    <t>i3-8th Gen.</t>
  </si>
  <si>
    <t>2.2 GHz</t>
  </si>
  <si>
    <t>last used by Jomar</t>
  </si>
  <si>
    <t>SOLD</t>
  </si>
  <si>
    <t>Being used by Team Member</t>
  </si>
  <si>
    <t>Being used by Company/Student</t>
  </si>
  <si>
    <t>Backup or Spare</t>
  </si>
  <si>
    <t>D</t>
  </si>
  <si>
    <t>For sale at regular price (good item)</t>
  </si>
  <si>
    <t>For sale at cheap price (not good item)</t>
  </si>
  <si>
    <t>Scrap</t>
  </si>
  <si>
    <t>G</t>
  </si>
  <si>
    <t>Bring BY CRG</t>
  </si>
  <si>
    <t>p7-1228</t>
  </si>
  <si>
    <t>I3-2ND GEN.</t>
  </si>
  <si>
    <t>3.20GHZ</t>
  </si>
  <si>
    <t>WIN 10</t>
  </si>
  <si>
    <t>Backup at IT Room</t>
  </si>
  <si>
    <t>ASUS</t>
  </si>
  <si>
    <t>CM6330_CM6630_CM6730_CM680-8</t>
  </si>
  <si>
    <t>I7 - 3RD GEN</t>
  </si>
  <si>
    <t>3.40GHZ</t>
  </si>
  <si>
    <t>750GB</t>
  </si>
  <si>
    <t>Last used by Angelique</t>
  </si>
  <si>
    <t>XPS</t>
  </si>
  <si>
    <t>Last used by King</t>
  </si>
  <si>
    <t>T11 ii</t>
  </si>
  <si>
    <t>XEON</t>
  </si>
  <si>
    <t>3.10GHZ</t>
  </si>
  <si>
    <t>WIN SERVER</t>
  </si>
  <si>
    <t>last used server in IT Room</t>
  </si>
  <si>
    <t>M4300</t>
  </si>
  <si>
    <t>I7-3RD GEN.</t>
  </si>
  <si>
    <t>last used by joana</t>
  </si>
  <si>
    <t xml:space="preserve">ASUS </t>
  </si>
  <si>
    <t>CM6850</t>
  </si>
  <si>
    <t>I7-2ND GEN.</t>
  </si>
  <si>
    <t>last used by Aminah</t>
  </si>
  <si>
    <t>XPS 8300</t>
  </si>
  <si>
    <t>I7 - 1st Gen.</t>
  </si>
  <si>
    <t>last used by jomar</t>
  </si>
  <si>
    <t>P7 - 1228</t>
  </si>
  <si>
    <t>I7</t>
  </si>
  <si>
    <t>last used by jesamine</t>
  </si>
  <si>
    <t>SOLD 221222</t>
  </si>
  <si>
    <t>W2242T</t>
  </si>
  <si>
    <t>Last Used by Jesamine</t>
  </si>
  <si>
    <t>P2212HT</t>
  </si>
  <si>
    <t>CN-0XTK9N-74445-253-037L</t>
  </si>
  <si>
    <t>First Used by King</t>
  </si>
  <si>
    <t>27MK60TM-B</t>
  </si>
  <si>
    <t>910NTZNAM885</t>
  </si>
  <si>
    <t>Last used by Jhason</t>
  </si>
  <si>
    <t>S22D360</t>
  </si>
  <si>
    <t>Last used by March</t>
  </si>
  <si>
    <t>Used by CRG in Office</t>
  </si>
  <si>
    <t>E2310H</t>
  </si>
  <si>
    <t>Last used FileServer</t>
  </si>
  <si>
    <t>ACER S200HSQL</t>
  </si>
  <si>
    <t>last used by maricel</t>
  </si>
  <si>
    <t>T24H310SND</t>
  </si>
  <si>
    <t>06VUHCLJ802015L</t>
  </si>
  <si>
    <t>24"</t>
  </si>
  <si>
    <t>First Used by Jesamine</t>
  </si>
  <si>
    <t>Last used by Jesamine</t>
  </si>
  <si>
    <t>9"</t>
  </si>
  <si>
    <t>R52N30C7VCy</t>
  </si>
  <si>
    <t>last used by Marilce</t>
  </si>
  <si>
    <t>GALAXY TAB A SM-T350</t>
  </si>
  <si>
    <t>R52H31GZBEE</t>
  </si>
  <si>
    <t>last used by Roan</t>
  </si>
  <si>
    <t xml:space="preserve">ACER </t>
  </si>
  <si>
    <t>ICONIA TAB 8 A1-840FHD</t>
  </si>
  <si>
    <t>NTL4JAA00351100A354C00</t>
  </si>
  <si>
    <t>stock at IT Room</t>
  </si>
  <si>
    <t>NTL4JAA00345101B184C00</t>
  </si>
  <si>
    <t>SKK MOBILE</t>
  </si>
  <si>
    <t>TRANS 4M DTV</t>
  </si>
  <si>
    <t>7"</t>
  </si>
  <si>
    <t>RCA</t>
  </si>
  <si>
    <t>RCT6603W47</t>
  </si>
  <si>
    <t>TNFD7Z08229D0</t>
  </si>
  <si>
    <t>9.6"</t>
  </si>
  <si>
    <t>MD513LL/A</t>
  </si>
  <si>
    <t>R52HA1KWENY</t>
  </si>
  <si>
    <t>10.1"</t>
  </si>
  <si>
    <t>SM-T550</t>
  </si>
  <si>
    <t>R52G80JVPWN</t>
  </si>
  <si>
    <t>R52J40VDNGZ</t>
  </si>
  <si>
    <t>R52G911520P</t>
  </si>
  <si>
    <t>R52JA0VL97Y</t>
  </si>
  <si>
    <t>GALAXY TAB</t>
  </si>
  <si>
    <t>GALAXY TAB-A</t>
  </si>
  <si>
    <t>GALAXY S7</t>
  </si>
  <si>
    <t>Last Used by CRG</t>
  </si>
  <si>
    <t>GALAXY S3</t>
  </si>
  <si>
    <t>USED FOR CONTACT INFORMATION IN OUR OFFICE</t>
  </si>
  <si>
    <t>J7 PRIME</t>
  </si>
  <si>
    <t>MOTOROLA</t>
  </si>
  <si>
    <t>VERIZON</t>
  </si>
  <si>
    <t>CHERRY MOBILE</t>
  </si>
  <si>
    <t>C7I</t>
  </si>
  <si>
    <t>SPH-L700</t>
  </si>
  <si>
    <t>last used by margie</t>
  </si>
  <si>
    <t>BAUHP0MVB1CD48</t>
  </si>
  <si>
    <t>KU-0316</t>
  </si>
  <si>
    <t>Bought at PCWorx</t>
  </si>
  <si>
    <t>2224HS0A14H9</t>
  </si>
  <si>
    <t>B100</t>
  </si>
  <si>
    <t>LOGITEH</t>
  </si>
  <si>
    <t>CRG at home</t>
  </si>
  <si>
    <t>USed</t>
  </si>
  <si>
    <t>VOLTAGE TRANSFORMER 500watts</t>
  </si>
  <si>
    <t>M-BZ96C</t>
  </si>
  <si>
    <t>CN-0KW240-71616-93A-16UV</t>
  </si>
  <si>
    <t>SK-3205</t>
  </si>
  <si>
    <t>M190</t>
  </si>
  <si>
    <t>WD Blue SA510 SATA SSD</t>
  </si>
  <si>
    <t>A4TECH</t>
  </si>
  <si>
    <t>Last Used by Last IT Tech</t>
  </si>
  <si>
    <t>CN-0DJ454-71581-384-06DK-A01</t>
  </si>
  <si>
    <t>KB-212-B</t>
  </si>
  <si>
    <t>last used by Kiko</t>
  </si>
  <si>
    <t>CN-0KW240-71616-13P-0EG5</t>
  </si>
  <si>
    <t>First Used by jesamine</t>
  </si>
  <si>
    <t>MS111-P</t>
  </si>
  <si>
    <t>Last Used by James</t>
  </si>
  <si>
    <t>MSO Gaming Mouse</t>
  </si>
  <si>
    <t>First Used by Aminah</t>
  </si>
  <si>
    <t>SLIMSTAR 8006</t>
  </si>
  <si>
    <t>GENIUS</t>
  </si>
  <si>
    <t>2224HS0A1DF9</t>
  </si>
  <si>
    <t>SK-8135</t>
  </si>
  <si>
    <t>E145614</t>
  </si>
  <si>
    <t>KB-IM898KB</t>
  </si>
  <si>
    <t>IMJS014100604858</t>
  </si>
  <si>
    <t>CN-0Dj425-71616-86J-11QU</t>
  </si>
  <si>
    <t>MONOPRICE</t>
  </si>
  <si>
    <t>MP-T03</t>
  </si>
  <si>
    <t>INTELLIGENT</t>
  </si>
  <si>
    <t>DT619</t>
  </si>
  <si>
    <t>B212-B</t>
  </si>
  <si>
    <t>last used by charlene</t>
  </si>
  <si>
    <t>NSK-DX0SQ 01</t>
  </si>
  <si>
    <t>SEAL SHIELD</t>
  </si>
  <si>
    <t>S103WP</t>
  </si>
  <si>
    <t>MK700</t>
  </si>
  <si>
    <t>M705</t>
  </si>
  <si>
    <t>NX-7020</t>
  </si>
  <si>
    <t>A1TECH</t>
  </si>
  <si>
    <t>AMP-L07</t>
  </si>
  <si>
    <t>bought in PCWorx</t>
  </si>
  <si>
    <t>DELL N889</t>
  </si>
  <si>
    <t>APC POWER EXTENSION</t>
  </si>
  <si>
    <t>APC</t>
  </si>
  <si>
    <t>ASSORTED CHARGERS</t>
  </si>
  <si>
    <t>SOME OF THE CHARGERS ARE GOOD</t>
  </si>
  <si>
    <t>ASSORTED BRANDS</t>
  </si>
  <si>
    <t>ACH</t>
  </si>
  <si>
    <t>ASSORTED PROCESSOR</t>
  </si>
  <si>
    <t>ASSORTED RAM</t>
  </si>
  <si>
    <t>ASSORTED VIDEO CARDS / LAN CARDS</t>
  </si>
  <si>
    <t>CAMERA</t>
  </si>
  <si>
    <t>PK-635K</t>
  </si>
  <si>
    <t>MASIER</t>
  </si>
  <si>
    <t>FUJI</t>
  </si>
  <si>
    <t>FINEPIX XP70</t>
  </si>
  <si>
    <t>E1B00479</t>
  </si>
  <si>
    <t>FINEPIX XP60</t>
  </si>
  <si>
    <t>CRC 52132</t>
  </si>
  <si>
    <t>1105155F0026</t>
  </si>
  <si>
    <t>CASIO</t>
  </si>
  <si>
    <t>EXILIM</t>
  </si>
  <si>
    <t>7803470B</t>
  </si>
  <si>
    <t>stock at Admin Room</t>
  </si>
  <si>
    <t>FINEPIX XP20</t>
  </si>
  <si>
    <t>DXG</t>
  </si>
  <si>
    <t>MODEL 228</t>
  </si>
  <si>
    <t>A41084122</t>
  </si>
  <si>
    <t>FUJIFILM</t>
  </si>
  <si>
    <t>FINEPIX JZ</t>
  </si>
  <si>
    <t>NIKON</t>
  </si>
  <si>
    <t>COOLPIX</t>
  </si>
  <si>
    <t>DOCKING STATION</t>
  </si>
  <si>
    <t>VGP-PRSZ1</t>
  </si>
  <si>
    <t>FLASHDRIVE</t>
  </si>
  <si>
    <t>FUJITSU</t>
  </si>
  <si>
    <t>GRAPHICS CARD</t>
  </si>
  <si>
    <t>GPU</t>
  </si>
  <si>
    <t>GPU FOR FILE SERVER</t>
  </si>
  <si>
    <t>GIGABYTE</t>
  </si>
  <si>
    <t>GeForce GTX 1650 D6 OC 4G</t>
  </si>
  <si>
    <t>SN214351104189</t>
  </si>
  <si>
    <t>MQ01ABD100</t>
  </si>
  <si>
    <t>Y7QRC9HST19FHDKEB98H8AO1T</t>
  </si>
  <si>
    <t>stock at IT room</t>
  </si>
  <si>
    <t>BARRACUDA 7200</t>
  </si>
  <si>
    <t>6VPC6ZS6ST3750528AS</t>
  </si>
  <si>
    <t>MOMENTUS 5400.6</t>
  </si>
  <si>
    <t>5VET58NYST9500325AS</t>
  </si>
  <si>
    <t>5VD7R6PZST9320325AS</t>
  </si>
  <si>
    <t>320GB</t>
  </si>
  <si>
    <t>BARRACUDA</t>
  </si>
  <si>
    <t>Z3TFM249ST250DM000</t>
  </si>
  <si>
    <t>WD2500AAKX-753CA1</t>
  </si>
  <si>
    <t>WMAYW2943787</t>
  </si>
  <si>
    <t>HD161GJ</t>
  </si>
  <si>
    <t>S2GYJ9CB128042</t>
  </si>
  <si>
    <t>BARRACUDA 7200.12</t>
  </si>
  <si>
    <t>9VY2YLBZ</t>
  </si>
  <si>
    <t>WD800JD-75MSA3</t>
  </si>
  <si>
    <t>WMAM9AYW8419</t>
  </si>
  <si>
    <t>80GB</t>
  </si>
  <si>
    <t>WD800JD-60LSA0</t>
  </si>
  <si>
    <t>WCAM9C726544</t>
  </si>
  <si>
    <t>WD800JD-60LSA5</t>
  </si>
  <si>
    <t>WMAM9ZX65001</t>
  </si>
  <si>
    <t>WMAM9ASJ9055</t>
  </si>
  <si>
    <t>WMAM9PY62049</t>
  </si>
  <si>
    <t>HD080HJ/P</t>
  </si>
  <si>
    <t>S0DEJ1IL300095</t>
  </si>
  <si>
    <t>WD800BEVT-75ZCT2</t>
  </si>
  <si>
    <t>WX30AB965670</t>
  </si>
  <si>
    <t>BARRACUDA 7200.10</t>
  </si>
  <si>
    <t>6RYMVV28ST3250310AS</t>
  </si>
  <si>
    <t>HDMI CABLE 6FT | 1.83M</t>
  </si>
  <si>
    <t>HDMI TO DVI ADPTR. FEM.</t>
  </si>
  <si>
    <t>HDMI TO DVI ADPTR. MALE</t>
  </si>
  <si>
    <t>IPOD</t>
  </si>
  <si>
    <t>A1099</t>
  </si>
  <si>
    <t>4TC07287</t>
  </si>
  <si>
    <t>4SA08741</t>
  </si>
  <si>
    <t>KVM SWITCH</t>
  </si>
  <si>
    <t>IOGEAR</t>
  </si>
  <si>
    <t>GCS42UW6</t>
  </si>
  <si>
    <t>ROSEWILL</t>
  </si>
  <si>
    <t>RKV-4UC</t>
  </si>
  <si>
    <t>DLINK</t>
  </si>
  <si>
    <t>DKVM-2U</t>
  </si>
  <si>
    <t>Used at IT Room</t>
  </si>
  <si>
    <t>LAMINATOR</t>
  </si>
  <si>
    <t>FELLOWES</t>
  </si>
  <si>
    <t>SATURN 95</t>
  </si>
  <si>
    <t>LAPTOP BATTERY</t>
  </si>
  <si>
    <t>HPCB69-6</t>
  </si>
  <si>
    <t>L13L4A61</t>
  </si>
  <si>
    <t>HP4431</t>
  </si>
  <si>
    <t>TF03XL-HSTNN-LB7X</t>
  </si>
  <si>
    <t>LAN TESTER</t>
  </si>
  <si>
    <t>SHOUYONG</t>
  </si>
  <si>
    <t>NINTENDO WII</t>
  </si>
  <si>
    <t>NINTENDO</t>
  </si>
  <si>
    <t>used by Admin for Calls</t>
  </si>
  <si>
    <t>GCE6029</t>
  </si>
  <si>
    <t>PLDT</t>
  </si>
  <si>
    <t>TELEPHONE</t>
  </si>
  <si>
    <t>Bought in Lazada</t>
  </si>
  <si>
    <t>WDS500G2B0A-00SM50</t>
  </si>
  <si>
    <t>4857544394B9139E</t>
  </si>
  <si>
    <t>EG8M8245H5G04</t>
  </si>
  <si>
    <t>HUAWEI</t>
  </si>
  <si>
    <t>ROUTER</t>
  </si>
  <si>
    <t>48575443DBF5469B</t>
  </si>
  <si>
    <t>HG8M078245U</t>
  </si>
  <si>
    <t>TP-LINK OMADA</t>
  </si>
  <si>
    <t>AX3000 Pro</t>
  </si>
  <si>
    <t>F9K1106V1</t>
  </si>
  <si>
    <t>121303BF102164</t>
  </si>
  <si>
    <t>AN55506-04-FG</t>
  </si>
  <si>
    <t>TEW-639GR</t>
  </si>
  <si>
    <t>E2500</t>
  </si>
  <si>
    <t>TL-WA801ND</t>
  </si>
  <si>
    <t>P-2612HNU-F1F</t>
  </si>
  <si>
    <t>RB750Gr3 5-Port</t>
  </si>
  <si>
    <t>LS1005G</t>
  </si>
  <si>
    <t>used at Server Room</t>
  </si>
  <si>
    <t>ROKU MEDIA PLAYER</t>
  </si>
  <si>
    <t>N1000</t>
  </si>
  <si>
    <t>20F87H015008</t>
  </si>
  <si>
    <t>TC2N1100</t>
  </si>
  <si>
    <t>G0C9AK012435</t>
  </si>
  <si>
    <t>SELFIE STICK BLACK</t>
  </si>
  <si>
    <t>SELFIE STICK RED</t>
  </si>
  <si>
    <t>22241Q801265</t>
  </si>
  <si>
    <t>WDBNC35000PNC-WRSN</t>
  </si>
  <si>
    <t>19130B801493</t>
  </si>
  <si>
    <t>19130B801052</t>
  </si>
  <si>
    <t>WDS120G1G0A-00SS50</t>
  </si>
  <si>
    <t>171104A00194</t>
  </si>
  <si>
    <t>TEG-S24Dg</t>
  </si>
  <si>
    <t>Switch at Admin Office</t>
  </si>
  <si>
    <t>C21336S200079</t>
  </si>
  <si>
    <t>GXW4008</t>
  </si>
  <si>
    <t>TARGUS DOCKING</t>
  </si>
  <si>
    <t>ACP51USZ</t>
  </si>
  <si>
    <t>TV TOSHIBA 110V</t>
  </si>
  <si>
    <t>26C100U</t>
  </si>
  <si>
    <t>last used at PI</t>
  </si>
  <si>
    <t>U-GREEN HDMI TO VGA</t>
  </si>
  <si>
    <t>USB HUB 3.0</t>
  </si>
  <si>
    <t>USB WIFI ADAPTOR 600MBPS</t>
  </si>
  <si>
    <t>UTP CABLE BOX</t>
  </si>
  <si>
    <t>VGA CABLES</t>
  </si>
  <si>
    <t>WIFI RANGE EXTENDER</t>
  </si>
  <si>
    <t>WN3000RP</t>
  </si>
  <si>
    <t>KX-TS520NDB</t>
  </si>
  <si>
    <t>3KBKB013191</t>
  </si>
  <si>
    <t>PNLC1017</t>
  </si>
  <si>
    <t>21CXA</t>
  </si>
  <si>
    <t>WIFI RECIEVER</t>
  </si>
  <si>
    <t>D-Link</t>
  </si>
  <si>
    <t>DWA-131</t>
  </si>
  <si>
    <t>RZJK109004634</t>
  </si>
  <si>
    <t>TEL</t>
  </si>
  <si>
    <t>Returned to office</t>
  </si>
  <si>
    <t>RETURNED BY JENZIEL</t>
  </si>
  <si>
    <t>RETURNED BY ALEX</t>
  </si>
  <si>
    <t>last used by admin - transfer to aminah</t>
  </si>
  <si>
    <t>CF</t>
  </si>
  <si>
    <t>Cooling Fan</t>
  </si>
  <si>
    <t>UPGRADE FOR FILE SERVER</t>
  </si>
  <si>
    <t>HYPERX</t>
  </si>
  <si>
    <t>233339T2T20000006954840002</t>
  </si>
  <si>
    <t>COOLING FAN</t>
  </si>
  <si>
    <t>COOLER MASTER</t>
  </si>
  <si>
    <t>SPECTRUM V3</t>
  </si>
  <si>
    <t>RRS4NA17PAR11242500265</t>
  </si>
  <si>
    <t>NOT YET TESTED</t>
  </si>
  <si>
    <t>EYOYO</t>
  </si>
  <si>
    <t>EY-034</t>
  </si>
  <si>
    <t>NEED TO TEST</t>
  </si>
  <si>
    <t>RETURNED BY JAMES</t>
  </si>
  <si>
    <t>6LG4H8AY523468X</t>
  </si>
  <si>
    <t>6LG4H8AY523483Y</t>
  </si>
  <si>
    <t>CN-0XXGNV-WSL00-38M-305L-A02</t>
  </si>
  <si>
    <t>TP197</t>
  </si>
  <si>
    <t>Last used by Jenziel Transfer to Angie</t>
  </si>
  <si>
    <t>Last used by Angie Returned to Server Room</t>
  </si>
  <si>
    <t>Last used by Jenziel Transfer to Joanna</t>
  </si>
  <si>
    <t>Last used by Maria - Transfer to Server Room</t>
  </si>
  <si>
    <t>DELAYED IN CLICKING</t>
  </si>
  <si>
    <t>Last used by Jonard returned to IT Room</t>
  </si>
  <si>
    <t>Last used by Joanna transfer to IT Room</t>
  </si>
  <si>
    <t>last used by Jomar transfer to Jonard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</si>
</sst>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-409]#,##0.00"/>
    <numFmt numFmtId="165" formatCode="_(* #,##0.00_);_(* \(#,##0.00\);_(* \-??_);_(@_)"/>
    <numFmt numFmtId="166" formatCode="[$$-540A]#,##0.00"/>
    <numFmt numFmtId="167" formatCode="_-[$$-409]* #,##0.00_ ;_-[$$-409]* \-#,##0.00\ ;_-[$$-409]* &quot;-&quot;??_ ;_-@_ "/>
    <numFmt numFmtId="168" formatCode="[$$-45C]#,##0.00"/>
    <numFmt numFmtId="169" formatCode="[$$-409]#,##0"/>
  </numFmts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36"/>
    </font>
    <font>
      <sz val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rgb="FFC00000"/>
      <name val="Calibri"/>
      <family val="2"/>
    </font>
    <font>
      <sz val="10"/>
      <name val="Aptos Narrow"/>
      <family val="2"/>
      <scheme val="minor"/>
    </font>
    <font>
      <sz val="10"/>
      <color rgb="FFC00000"/>
      <name val="Aptos Narrow"/>
      <family val="2"/>
      <scheme val="minor"/>
    </font>
    <font>
      <sz val="10"/>
      <color rgb="FF000000"/>
      <name val="Calibri"/>
      <family val="2"/>
    </font>
    <font>
      <sz val="10"/>
      <color theme="9" tint="-0.249977111117893"/>
      <name val="Calibri"/>
      <family val="2"/>
    </font>
    <font>
      <sz val="10"/>
      <color theme="1"/>
      <name val="Aptos Narrow"/>
      <family val="2"/>
      <scheme val="minor"/>
    </font>
    <font>
      <sz val="10"/>
      <color rgb="FFF92D17"/>
      <name val="Calibri"/>
      <family val="2"/>
    </font>
    <font>
      <sz val="10"/>
      <color rgb="FF000000"/>
      <name val="Aptos Narrow"/>
      <family val="2"/>
      <scheme val="minor"/>
    </font>
    <font>
      <b/>
      <sz val="16"/>
      <color theme="0"/>
      <name val="Calibri"/>
      <family val="2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name val="Calibri"/>
      <family val="2"/>
      <charset val="1"/>
    </font>
    <font>
      <sz val="1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charset val="136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A98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2" fillId="0" borderId="0" applyBorder="0" applyProtection="0"/>
    <xf numFmtId="0" fontId="3" fillId="0" borderId="0">
      <alignment vertical="center"/>
    </xf>
  </cellStyleXfs>
  <cellXfs count="324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right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right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4" fontId="9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4" fontId="9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4" fontId="4" fillId="4" borderId="1" xfId="1" applyNumberFormat="1" applyFont="1" applyFill="1" applyBorder="1" applyAlignment="1" applyProtection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4" fontId="11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" fontId="9" fillId="4" borderId="1" xfId="1" applyNumberFormat="1" applyFont="1" applyFill="1" applyBorder="1" applyAlignment="1" applyProtection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4" fontId="4" fillId="4" borderId="1" xfId="2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1" fontId="10" fillId="4" borderId="1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right" vertical="center"/>
    </xf>
    <xf numFmtId="4" fontId="14" fillId="4" borderId="1" xfId="1" applyNumberFormat="1" applyFont="1" applyFill="1" applyBorder="1" applyAlignment="1" applyProtection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4" fontId="10" fillId="4" borderId="1" xfId="1" applyNumberFormat="1" applyFont="1" applyFill="1" applyBorder="1" applyAlignment="1" applyProtection="1">
      <alignment horizontal="center" vertical="center"/>
    </xf>
    <xf numFmtId="4" fontId="10" fillId="4" borderId="1" xfId="0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" fontId="16" fillId="4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right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" fontId="14" fillId="4" borderId="1" xfId="2" applyNumberFormat="1" applyFont="1" applyFill="1" applyBorder="1" applyAlignment="1">
      <alignment horizontal="center" vertical="center"/>
    </xf>
    <xf numFmtId="4" fontId="14" fillId="4" borderId="1" xfId="2" applyNumberFormat="1" applyFont="1" applyFill="1" applyBorder="1" applyAlignment="1">
      <alignment horizontal="right" vertical="center"/>
    </xf>
    <xf numFmtId="166" fontId="14" fillId="4" borderId="1" xfId="2" applyNumberFormat="1" applyFont="1" applyFill="1" applyBorder="1" applyAlignment="1">
      <alignment horizontal="right" vertical="center"/>
    </xf>
    <xf numFmtId="165" fontId="14" fillId="4" borderId="1" xfId="1" applyFont="1" applyFill="1" applyBorder="1" applyAlignment="1" applyProtection="1">
      <alignment horizontal="center" vertical="center"/>
    </xf>
    <xf numFmtId="165" fontId="10" fillId="4" borderId="1" xfId="1" applyFont="1" applyFill="1" applyBorder="1" applyAlignment="1" applyProtection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65" fontId="4" fillId="4" borderId="1" xfId="1" applyFont="1" applyFill="1" applyBorder="1" applyAlignment="1" applyProtection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169" fontId="9" fillId="4" borderId="1" xfId="0" applyNumberFormat="1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 applyProtection="1">
      <alignment horizontal="center" vertical="center"/>
    </xf>
    <xf numFmtId="3" fontId="16" fillId="4" borderId="1" xfId="0" applyNumberFormat="1" applyFont="1" applyFill="1" applyBorder="1" applyAlignment="1">
      <alignment horizontal="center" vertical="center"/>
    </xf>
    <xf numFmtId="3" fontId="16" fillId="4" borderId="1" xfId="1" applyNumberFormat="1" applyFont="1" applyFill="1" applyBorder="1" applyAlignment="1" applyProtection="1">
      <alignment horizontal="center" vertical="center"/>
    </xf>
    <xf numFmtId="0" fontId="16" fillId="4" borderId="1" xfId="0" applyFont="1" applyFill="1" applyBorder="1" applyAlignment="1">
      <alignment horizontal="center"/>
    </xf>
    <xf numFmtId="1" fontId="16" fillId="4" borderId="1" xfId="0" applyNumberFormat="1" applyFont="1" applyFill="1" applyBorder="1" applyAlignment="1">
      <alignment horizontal="center"/>
    </xf>
    <xf numFmtId="4" fontId="16" fillId="4" borderId="1" xfId="0" applyNumberFormat="1" applyFont="1" applyFill="1" applyBorder="1" applyAlignment="1">
      <alignment horizontal="center"/>
    </xf>
    <xf numFmtId="3" fontId="14" fillId="4" borderId="1" xfId="1" applyNumberFormat="1" applyFont="1" applyFill="1" applyBorder="1" applyAlignment="1" applyProtection="1">
      <alignment horizontal="center" vertical="center"/>
    </xf>
    <xf numFmtId="0" fontId="16" fillId="0" borderId="1" xfId="0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4" fontId="12" fillId="4" borderId="1" xfId="1" applyNumberFormat="1" applyFont="1" applyFill="1" applyBorder="1" applyAlignment="1" applyProtection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1" fontId="12" fillId="4" borderId="1" xfId="2" applyNumberFormat="1" applyFont="1" applyFill="1" applyBorder="1" applyAlignment="1">
      <alignment horizontal="center" vertical="center"/>
    </xf>
    <xf numFmtId="4" fontId="13" fillId="4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" fontId="12" fillId="5" borderId="1" xfId="2" applyNumberFormat="1" applyFont="1" applyFill="1" applyBorder="1" applyAlignment="1">
      <alignment horizontal="center" vertical="center"/>
    </xf>
    <xf numFmtId="4" fontId="12" fillId="5" borderId="1" xfId="1" applyNumberFormat="1" applyFont="1" applyFill="1" applyBorder="1" applyAlignment="1" applyProtection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169" fontId="12" fillId="5" borderId="1" xfId="0" applyNumberFormat="1" applyFont="1" applyFill="1" applyBorder="1" applyAlignment="1">
      <alignment horizontal="center" vertical="center"/>
    </xf>
    <xf numFmtId="165" fontId="12" fillId="5" borderId="1" xfId="1" applyFont="1" applyFill="1" applyBorder="1" applyAlignment="1" applyProtection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8" fillId="5" borderId="1" xfId="2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169" fontId="16" fillId="5" borderId="1" xfId="0" applyNumberFormat="1" applyFont="1" applyFill="1" applyBorder="1" applyAlignment="1">
      <alignment horizontal="center" vertical="center"/>
    </xf>
    <xf numFmtId="4" fontId="16" fillId="5" borderId="1" xfId="0" applyNumberFormat="1" applyFont="1" applyFill="1" applyBorder="1" applyAlignment="1">
      <alignment horizontal="center" vertical="center"/>
    </xf>
    <xf numFmtId="1" fontId="18" fillId="5" borderId="1" xfId="2" applyNumberFormat="1" applyFont="1" applyFill="1" applyBorder="1" applyAlignment="1">
      <alignment horizontal="center" vertical="center"/>
    </xf>
    <xf numFmtId="4" fontId="18" fillId="5" borderId="1" xfId="2" applyNumberFormat="1" applyFont="1" applyFill="1" applyBorder="1" applyAlignment="1">
      <alignment horizontal="center" vertical="center"/>
    </xf>
    <xf numFmtId="3" fontId="18" fillId="5" borderId="1" xfId="1" applyNumberFormat="1" applyFont="1" applyFill="1" applyBorder="1" applyAlignment="1" applyProtection="1">
      <alignment horizontal="center" vertical="center"/>
    </xf>
    <xf numFmtId="165" fontId="16" fillId="5" borderId="1" xfId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" fontId="12" fillId="5" borderId="1" xfId="2" applyNumberFormat="1" applyFont="1" applyFill="1" applyBorder="1" applyAlignment="1">
      <alignment horizontal="center" vertical="center"/>
    </xf>
    <xf numFmtId="4" fontId="16" fillId="5" borderId="1" xfId="1" applyNumberFormat="1" applyFont="1" applyFill="1" applyBorder="1" applyAlignment="1" applyProtection="1">
      <alignment horizontal="center" vertical="center"/>
    </xf>
    <xf numFmtId="164" fontId="16" fillId="5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4" fontId="9" fillId="4" borderId="1" xfId="2" applyNumberFormat="1" applyFont="1" applyFill="1" applyBorder="1" applyAlignment="1">
      <alignment horizontal="right" vertical="center"/>
    </xf>
    <xf numFmtId="168" fontId="9" fillId="4" borderId="1" xfId="0" applyNumberFormat="1" applyFont="1" applyFill="1" applyBorder="1" applyAlignment="1">
      <alignment horizontal="center" vertical="center"/>
    </xf>
    <xf numFmtId="165" fontId="9" fillId="4" borderId="1" xfId="1" applyFont="1" applyFill="1" applyBorder="1" applyAlignment="1" applyProtection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4" fontId="4" fillId="4" borderId="1" xfId="2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0" fontId="15" fillId="4" borderId="1" xfId="0" applyFont="1" applyFill="1" applyBorder="1"/>
    <xf numFmtId="1" fontId="16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/>
    </xf>
    <xf numFmtId="4" fontId="16" fillId="6" borderId="1" xfId="0" applyNumberFormat="1" applyFont="1" applyFill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4" fontId="4" fillId="7" borderId="1" xfId="1" applyNumberFormat="1" applyFont="1" applyFill="1" applyBorder="1" applyAlignment="1" applyProtection="1">
      <alignment horizontal="center" vertical="center"/>
    </xf>
    <xf numFmtId="4" fontId="11" fillId="7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4" fontId="10" fillId="7" borderId="1" xfId="1" applyNumberFormat="1" applyFont="1" applyFill="1" applyBorder="1" applyAlignment="1" applyProtection="1">
      <alignment horizontal="right" vertical="center"/>
    </xf>
    <xf numFmtId="164" fontId="10" fillId="7" borderId="1" xfId="2" applyNumberFormat="1" applyFont="1" applyFill="1" applyBorder="1" applyAlignment="1">
      <alignment horizontal="right" vertical="center"/>
    </xf>
    <xf numFmtId="3" fontId="4" fillId="7" borderId="1" xfId="1" applyNumberFormat="1" applyFont="1" applyFill="1" applyBorder="1" applyAlignment="1" applyProtection="1">
      <alignment horizontal="center" vertical="center"/>
    </xf>
    <xf numFmtId="169" fontId="4" fillId="7" borderId="1" xfId="0" applyNumberFormat="1" applyFont="1" applyFill="1" applyBorder="1" applyAlignment="1">
      <alignment horizontal="center" vertical="center"/>
    </xf>
    <xf numFmtId="165" fontId="4" fillId="7" borderId="1" xfId="1" applyFont="1" applyFill="1" applyBorder="1" applyAlignment="1" applyProtection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4" fontId="16" fillId="7" borderId="1" xfId="0" applyNumberFormat="1" applyFont="1" applyFill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0" fontId="4" fillId="7" borderId="1" xfId="2" applyFont="1" applyFill="1" applyBorder="1" applyAlignment="1">
      <alignment horizontal="center" vertical="center"/>
    </xf>
    <xf numFmtId="1" fontId="4" fillId="7" borderId="1" xfId="2" applyNumberFormat="1" applyFont="1" applyFill="1" applyBorder="1" applyAlignment="1">
      <alignment horizontal="center" vertical="center"/>
    </xf>
    <xf numFmtId="4" fontId="4" fillId="7" borderId="1" xfId="2" applyNumberFormat="1" applyFont="1" applyFill="1" applyBorder="1" applyAlignment="1">
      <alignment horizontal="right" vertical="center"/>
    </xf>
    <xf numFmtId="3" fontId="16" fillId="7" borderId="1" xfId="1" applyNumberFormat="1" applyFont="1" applyFill="1" applyBorder="1" applyAlignment="1" applyProtection="1">
      <alignment horizontal="center" vertical="center"/>
    </xf>
    <xf numFmtId="0" fontId="14" fillId="7" borderId="1" xfId="2" applyFont="1" applyFill="1" applyBorder="1" applyAlignment="1">
      <alignment horizontal="center" vertical="center"/>
    </xf>
    <xf numFmtId="169" fontId="16" fillId="7" borderId="1" xfId="0" applyNumberFormat="1" applyFont="1" applyFill="1" applyBorder="1" applyAlignment="1">
      <alignment horizontal="center" vertical="center"/>
    </xf>
    <xf numFmtId="0" fontId="14" fillId="7" borderId="1" xfId="1" applyNumberFormat="1" applyFont="1" applyFill="1" applyBorder="1" applyAlignment="1" applyProtection="1">
      <alignment horizontal="center" vertical="center"/>
    </xf>
    <xf numFmtId="0" fontId="4" fillId="7" borderId="1" xfId="1" applyNumberFormat="1" applyFont="1" applyFill="1" applyBorder="1" applyAlignment="1" applyProtection="1">
      <alignment horizontal="center" vertical="center"/>
    </xf>
    <xf numFmtId="0" fontId="16" fillId="7" borderId="1" xfId="1" applyNumberFormat="1" applyFont="1" applyFill="1" applyBorder="1" applyAlignment="1" applyProtection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10" fillId="7" borderId="1" xfId="2" applyFont="1" applyFill="1" applyBorder="1" applyAlignment="1">
      <alignment horizontal="center" vertical="center"/>
    </xf>
    <xf numFmtId="4" fontId="10" fillId="7" borderId="1" xfId="1" applyNumberFormat="1" applyFont="1" applyFill="1" applyBorder="1" applyAlignment="1" applyProtection="1">
      <alignment horizontal="center" vertical="center"/>
    </xf>
    <xf numFmtId="164" fontId="10" fillId="7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9" fillId="4" borderId="1" xfId="2" applyNumberFormat="1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" fontId="21" fillId="4" borderId="1" xfId="0" applyNumberFormat="1" applyFont="1" applyFill="1" applyBorder="1" applyAlignment="1">
      <alignment horizontal="center" vertical="center"/>
    </xf>
    <xf numFmtId="4" fontId="21" fillId="4" borderId="1" xfId="0" applyNumberFormat="1" applyFont="1" applyFill="1" applyBorder="1" applyAlignment="1">
      <alignment horizontal="center" vertical="center"/>
    </xf>
    <xf numFmtId="164" fontId="21" fillId="4" borderId="1" xfId="2" applyNumberFormat="1" applyFont="1" applyFill="1" applyBorder="1" applyAlignment="1">
      <alignment horizontal="center" vertical="center"/>
    </xf>
    <xf numFmtId="164" fontId="21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4" fontId="4" fillId="8" borderId="1" xfId="1" applyNumberFormat="1" applyFont="1" applyFill="1" applyBorder="1" applyAlignment="1" applyProtection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4" fontId="10" fillId="8" borderId="1" xfId="1" applyNumberFormat="1" applyFont="1" applyFill="1" applyBorder="1" applyAlignment="1" applyProtection="1">
      <alignment horizontal="center" vertical="center"/>
    </xf>
    <xf numFmtId="164" fontId="10" fillId="8" borderId="1" xfId="2" applyNumberFormat="1" applyFont="1" applyFill="1" applyBorder="1" applyAlignment="1">
      <alignment horizontal="center" vertical="center"/>
    </xf>
    <xf numFmtId="169" fontId="10" fillId="8" borderId="1" xfId="0" applyNumberFormat="1" applyFont="1" applyFill="1" applyBorder="1" applyAlignment="1">
      <alignment horizontal="center" vertical="center"/>
    </xf>
    <xf numFmtId="165" fontId="10" fillId="8" borderId="1" xfId="1" applyFont="1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8" borderId="1" xfId="0" applyFill="1" applyBorder="1"/>
    <xf numFmtId="0" fontId="20" fillId="0" borderId="1" xfId="0" applyFont="1" applyBorder="1"/>
    <xf numFmtId="164" fontId="10" fillId="4" borderId="1" xfId="2" applyNumberFormat="1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0" fillId="9" borderId="1" xfId="0" applyFill="1" applyBorder="1"/>
    <xf numFmtId="0" fontId="21" fillId="4" borderId="1" xfId="0" applyFont="1" applyFill="1" applyBorder="1" applyAlignment="1">
      <alignment horizontal="center"/>
    </xf>
    <xf numFmtId="1" fontId="21" fillId="4" borderId="1" xfId="0" applyNumberFormat="1" applyFont="1" applyFill="1" applyBorder="1" applyAlignment="1">
      <alignment horizontal="center"/>
    </xf>
    <xf numFmtId="4" fontId="21" fillId="4" borderId="1" xfId="0" applyNumberFormat="1" applyFont="1" applyFill="1" applyBorder="1" applyAlignment="1">
      <alignment horizontal="center"/>
    </xf>
    <xf numFmtId="0" fontId="20" fillId="7" borderId="1" xfId="0" applyFont="1" applyFill="1" applyBorder="1"/>
    <xf numFmtId="0" fontId="9" fillId="4" borderId="1" xfId="2" applyFont="1" applyFill="1" applyBorder="1" applyAlignment="1">
      <alignment horizontal="center" vertical="center"/>
    </xf>
    <xf numFmtId="0" fontId="20" fillId="4" borderId="1" xfId="0" applyFont="1" applyFill="1" applyBorder="1"/>
    <xf numFmtId="0" fontId="21" fillId="9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4" fontId="9" fillId="4" borderId="1" xfId="1" applyNumberFormat="1" applyFont="1" applyFill="1" applyBorder="1" applyAlignment="1" applyProtection="1">
      <alignment horizontal="right" vertical="center"/>
    </xf>
    <xf numFmtId="3" fontId="9" fillId="4" borderId="1" xfId="1" applyNumberFormat="1" applyFont="1" applyFill="1" applyBorder="1" applyAlignment="1" applyProtection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8" fillId="6" borderId="1" xfId="2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/>
    </xf>
    <xf numFmtId="4" fontId="9" fillId="10" borderId="1" xfId="0" applyNumberFormat="1" applyFont="1" applyFill="1" applyBorder="1" applyAlignment="1">
      <alignment horizontal="right" vertical="center"/>
    </xf>
    <xf numFmtId="164" fontId="9" fillId="10" borderId="1" xfId="0" applyNumberFormat="1" applyFont="1" applyFill="1" applyBorder="1" applyAlignment="1">
      <alignment horizontal="right" vertical="center"/>
    </xf>
    <xf numFmtId="4" fontId="9" fillId="10" borderId="1" xfId="0" applyNumberFormat="1" applyFont="1" applyFill="1" applyBorder="1" applyAlignment="1">
      <alignment horizontal="center" vertical="center"/>
    </xf>
    <xf numFmtId="164" fontId="9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4" fontId="4" fillId="10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4" fontId="4" fillId="10" borderId="1" xfId="1" applyNumberFormat="1" applyFont="1" applyFill="1" applyBorder="1" applyAlignment="1" applyProtection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4" fontId="11" fillId="10" borderId="1" xfId="0" applyNumberFormat="1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center" vertical="center"/>
    </xf>
    <xf numFmtId="0" fontId="4" fillId="10" borderId="1" xfId="2" applyFont="1" applyFill="1" applyBorder="1" applyAlignment="1">
      <alignment horizontal="center" vertical="center"/>
    </xf>
    <xf numFmtId="1" fontId="4" fillId="10" borderId="1" xfId="2" applyNumberFormat="1" applyFont="1" applyFill="1" applyBorder="1" applyAlignment="1">
      <alignment horizontal="center" vertical="center"/>
    </xf>
    <xf numFmtId="4" fontId="4" fillId="10" borderId="1" xfId="2" applyNumberFormat="1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20" fillId="10" borderId="1" xfId="0" applyFont="1" applyFill="1" applyBorder="1"/>
    <xf numFmtId="1" fontId="12" fillId="10" borderId="1" xfId="0" applyNumberFormat="1" applyFon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/>
    </xf>
    <xf numFmtId="0" fontId="1" fillId="0" borderId="1" xfId="0" applyFont="1" applyBorder="1"/>
    <xf numFmtId="1" fontId="23" fillId="11" borderId="1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3" fontId="23" fillId="11" borderId="1" xfId="1" applyNumberFormat="1" applyFont="1" applyFill="1" applyBorder="1" applyAlignment="1" applyProtection="1">
      <alignment horizontal="center" vertical="center"/>
    </xf>
    <xf numFmtId="3" fontId="23" fillId="11" borderId="1" xfId="0" applyNumberFormat="1" applyFont="1" applyFill="1" applyBorder="1" applyAlignment="1">
      <alignment horizontal="center" vertical="center"/>
    </xf>
    <xf numFmtId="165" fontId="23" fillId="11" borderId="1" xfId="1" applyFont="1" applyFill="1" applyBorder="1" applyAlignment="1" applyProtection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1" fontId="12" fillId="11" borderId="1" xfId="0" applyNumberFormat="1" applyFont="1" applyFill="1" applyBorder="1" applyAlignment="1">
      <alignment horizontal="center" vertical="center"/>
    </xf>
    <xf numFmtId="3" fontId="12" fillId="11" borderId="1" xfId="1" applyNumberFormat="1" applyFont="1" applyFill="1" applyBorder="1" applyAlignment="1" applyProtection="1">
      <alignment horizontal="center" vertical="center"/>
    </xf>
    <xf numFmtId="3" fontId="12" fillId="11" borderId="1" xfId="0" applyNumberFormat="1" applyFont="1" applyFill="1" applyBorder="1" applyAlignment="1">
      <alignment horizontal="center" vertical="center"/>
    </xf>
    <xf numFmtId="165" fontId="12" fillId="11" borderId="1" xfId="1" applyFont="1" applyFill="1" applyBorder="1" applyAlignment="1" applyProtection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2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  <xf numFmtId="1" fontId="10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3" fontId="10" fillId="11" borderId="1" xfId="0" applyNumberFormat="1" applyFont="1" applyFill="1" applyBorder="1" applyAlignment="1">
      <alignment horizontal="center" vertical="center"/>
    </xf>
    <xf numFmtId="3" fontId="4" fillId="11" borderId="1" xfId="1" applyNumberFormat="1" applyFont="1" applyFill="1" applyBorder="1" applyAlignment="1" applyProtection="1">
      <alignment horizontal="center" vertical="center"/>
    </xf>
    <xf numFmtId="165" fontId="4" fillId="11" borderId="1" xfId="1" applyFont="1" applyFill="1" applyBorder="1" applyAlignment="1" applyProtection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3" fontId="14" fillId="11" borderId="1" xfId="1" applyNumberFormat="1" applyFont="1" applyFill="1" applyBorder="1" applyAlignment="1" applyProtection="1">
      <alignment horizontal="center" vertical="center"/>
    </xf>
    <xf numFmtId="1" fontId="16" fillId="10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/>
    <xf numFmtId="0" fontId="23" fillId="12" borderId="1" xfId="0" applyFont="1" applyFill="1" applyBorder="1" applyAlignment="1">
      <alignment horizontal="center" vertical="center"/>
    </xf>
    <xf numFmtId="1" fontId="23" fillId="12" borderId="1" xfId="0" applyNumberFormat="1" applyFont="1" applyFill="1" applyBorder="1" applyAlignment="1">
      <alignment horizontal="center" vertical="center"/>
    </xf>
    <xf numFmtId="0" fontId="27" fillId="12" borderId="1" xfId="2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3" fontId="26" fillId="12" borderId="1" xfId="1" applyNumberFormat="1" applyFont="1" applyFill="1" applyBorder="1" applyAlignment="1" applyProtection="1">
      <alignment horizontal="center" vertical="center"/>
    </xf>
    <xf numFmtId="3" fontId="16" fillId="12" borderId="1" xfId="0" applyNumberFormat="1" applyFont="1" applyFill="1" applyBorder="1" applyAlignment="1">
      <alignment horizontal="center" vertical="center"/>
    </xf>
    <xf numFmtId="3" fontId="27" fillId="12" borderId="1" xfId="1" applyNumberFormat="1" applyFont="1" applyFill="1" applyBorder="1" applyAlignment="1" applyProtection="1">
      <alignment horizontal="center" vertical="center"/>
    </xf>
    <xf numFmtId="165" fontId="16" fillId="12" borderId="1" xfId="1" applyFont="1" applyFill="1" applyBorder="1" applyAlignment="1" applyProtection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165" fontId="27" fillId="12" borderId="1" xfId="1" applyFont="1" applyFill="1" applyBorder="1" applyAlignment="1" applyProtection="1">
      <alignment horizontal="center" vertical="center"/>
    </xf>
    <xf numFmtId="165" fontId="23" fillId="12" borderId="1" xfId="1" applyFont="1" applyFill="1" applyBorder="1" applyAlignment="1" applyProtection="1">
      <alignment horizontal="center" vertical="center"/>
    </xf>
    <xf numFmtId="1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1" fontId="16" fillId="12" borderId="1" xfId="0" applyNumberFormat="1" applyFont="1" applyFill="1" applyBorder="1" applyAlignment="1">
      <alignment horizontal="center" vertical="center"/>
    </xf>
    <xf numFmtId="3" fontId="23" fillId="12" borderId="1" xfId="0" applyNumberFormat="1" applyFont="1" applyFill="1" applyBorder="1" applyAlignment="1">
      <alignment horizontal="center" vertical="center"/>
    </xf>
    <xf numFmtId="3" fontId="16" fillId="12" borderId="1" xfId="1" applyNumberFormat="1" applyFont="1" applyFill="1" applyBorder="1" applyAlignment="1" applyProtection="1">
      <alignment horizontal="center" vertical="center"/>
    </xf>
    <xf numFmtId="3" fontId="2" fillId="12" borderId="1" xfId="1" applyNumberFormat="1" applyFill="1" applyBorder="1" applyAlignment="1" applyProtection="1">
      <alignment horizontal="center" vertical="center"/>
    </xf>
    <xf numFmtId="3" fontId="0" fillId="12" borderId="1" xfId="1" applyNumberFormat="1" applyFont="1" applyFill="1" applyBorder="1" applyAlignment="1" applyProtection="1">
      <alignment horizontal="center" vertical="center"/>
    </xf>
    <xf numFmtId="1" fontId="22" fillId="12" borderId="1" xfId="0" applyNumberFormat="1" applyFont="1" applyFill="1" applyBorder="1" applyAlignment="1">
      <alignment horizontal="center" vertical="center"/>
    </xf>
    <xf numFmtId="0" fontId="3" fillId="12" borderId="1" xfId="2" applyFill="1" applyBorder="1" applyAlignment="1">
      <alignment horizontal="center" vertical="center"/>
    </xf>
    <xf numFmtId="3" fontId="3" fillId="12" borderId="1" xfId="1" applyNumberFormat="1" applyFont="1" applyFill="1" applyBorder="1" applyAlignment="1" applyProtection="1">
      <alignment horizontal="center" vertical="center"/>
    </xf>
    <xf numFmtId="165" fontId="0" fillId="12" borderId="1" xfId="1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4" fontId="10" fillId="4" borderId="1" xfId="1" applyNumberFormat="1" applyFont="1" applyFill="1" applyBorder="1" applyAlignment="1" applyProtection="1">
      <alignment horizontal="right" vertical="center"/>
    </xf>
    <xf numFmtId="169" fontId="4" fillId="4" borderId="1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0" fillId="12" borderId="1" xfId="0" applyFont="1" applyFill="1" applyBorder="1" applyAlignment="1">
      <alignment horizontal="center" vertical="center"/>
    </xf>
    <xf numFmtId="165" fontId="3" fillId="12" borderId="1" xfId="1" applyFont="1" applyFill="1" applyBorder="1" applyAlignment="1" applyProtection="1">
      <alignment horizontal="center" vertical="center"/>
    </xf>
    <xf numFmtId="3" fontId="22" fillId="12" borderId="1" xfId="1" applyNumberFormat="1" applyFont="1" applyFill="1" applyBorder="1" applyAlignment="1" applyProtection="1">
      <alignment horizontal="center" vertical="center"/>
    </xf>
    <xf numFmtId="165" fontId="22" fillId="12" borderId="1" xfId="1" applyFont="1" applyFill="1" applyBorder="1" applyAlignment="1" applyProtection="1">
      <alignment horizontal="center" vertical="center"/>
    </xf>
    <xf numFmtId="0" fontId="3" fillId="10" borderId="1" xfId="2" applyFill="1" applyBorder="1" applyAlignment="1">
      <alignment horizontal="center" vertical="center"/>
    </xf>
    <xf numFmtId="3" fontId="2" fillId="10" borderId="1" xfId="1" applyNumberFormat="1" applyFill="1" applyBorder="1" applyAlignment="1" applyProtection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4" fontId="14" fillId="4" borderId="1" xfId="2" applyNumberFormat="1" applyFont="1" applyFill="1" applyBorder="1" applyAlignment="1">
      <alignment horizontal="center" vertical="center"/>
    </xf>
    <xf numFmtId="169" fontId="16" fillId="4" borderId="1" xfId="0" applyNumberFormat="1" applyFont="1" applyFill="1" applyBorder="1" applyAlignment="1">
      <alignment horizontal="center" vertical="center"/>
    </xf>
    <xf numFmtId="165" fontId="16" fillId="4" borderId="1" xfId="1" applyFont="1" applyFill="1" applyBorder="1" applyAlignment="1" applyProtection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16" fillId="10" borderId="1" xfId="0" applyFont="1" applyFill="1" applyBorder="1"/>
    <xf numFmtId="0" fontId="29" fillId="4" borderId="1" xfId="0" applyFont="1" applyFill="1" applyBorder="1"/>
    <xf numFmtId="1" fontId="16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3" fontId="23" fillId="12" borderId="1" xfId="1" applyNumberFormat="1" applyFont="1" applyFill="1" applyBorder="1" applyAlignment="1" applyProtection="1">
      <alignment horizontal="center" vertical="center"/>
    </xf>
    <xf numFmtId="0" fontId="16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29" fillId="0" borderId="1" xfId="0" applyFont="1" applyBorder="1"/>
    <xf numFmtId="46" fontId="12" fillId="7" borderId="1" xfId="0" applyNumberFormat="1" applyFont="1" applyFill="1" applyBorder="1" applyAlignment="1">
      <alignment horizontal="center" vertical="center"/>
    </xf>
    <xf numFmtId="4" fontId="12" fillId="7" borderId="1" xfId="0" applyNumberFormat="1" applyFont="1" applyFill="1" applyBorder="1" applyAlignment="1">
      <alignment horizontal="center" vertical="center"/>
    </xf>
    <xf numFmtId="3" fontId="12" fillId="7" borderId="1" xfId="0" applyNumberFormat="1" applyFont="1" applyFill="1" applyBorder="1" applyAlignment="1">
      <alignment horizontal="center" vertical="center"/>
    </xf>
    <xf numFmtId="1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30" fillId="12" borderId="1" xfId="2" applyFont="1" applyFill="1" applyBorder="1" applyAlignment="1">
      <alignment horizontal="center" vertical="center"/>
    </xf>
    <xf numFmtId="3" fontId="12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2" fillId="7" borderId="1" xfId="2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</cellXfs>
  <cellStyles count="3">
    <cellStyle name="Comma 2" xfId="1" xr:uid="{166E7172-93A5-4C51-AE89-9ECF2F3BA9FE}"/>
    <cellStyle name="Normal" xfId="0" builtinId="0"/>
    <cellStyle name="Normal 2" xfId="2" xr:uid="{CF75940E-9532-48F7-991A-3E887DF93789}"/>
  </cellStyles>
  <dxfs count="96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1A98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E49EDD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83CCEB"/>
          <bgColor rgb="FF000000"/>
        </patternFill>
      </fill>
    </dxf>
  </dxfs>
  <tableStyles count="0" defaultTableStyle="TableStyleMedium2" defaultPivotStyle="PivotStyleLight16"/>
  <colors>
    <mruColors>
      <color rgb="FFFFC000"/>
      <color rgb="FFE49EDD"/>
      <color rgb="FF83CCEB"/>
      <color rgb="FFF1A983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068-513B-4C67-B50C-9CF30BA88253}">
  <dimension ref="A1:AL401"/>
  <sheetViews>
    <sheetView tabSelected="1" zoomScaleNormal="100" workbookViewId="0">
      <pane ySplit="3" topLeftCell="A4" activePane="bottomLeft" state="frozen"/>
      <selection pane="bottomLeft" activeCell="D10" sqref="D10"/>
    </sheetView>
  </sheetViews>
  <sheetFormatPr defaultRowHeight="13.5"/>
  <cols>
    <col min="1" max="1" width="28" style="110" customWidth="1"/>
    <col min="2" max="2" width="34.5703125" style="110" customWidth="1"/>
    <col min="3" max="5" width="15.7109375" style="110" customWidth="1"/>
    <col min="6" max="6" width="32" style="110" customWidth="1"/>
    <col min="7" max="7" width="50.28515625" style="110" customWidth="1"/>
    <col min="8" max="9" width="15.7109375" style="110" customWidth="1"/>
    <col min="10" max="10" width="12.85546875" style="110" customWidth="1"/>
    <col min="11" max="11" width="31.7109375" style="110" customWidth="1"/>
    <col min="12" max="12" width="25" style="110" customWidth="1"/>
    <col min="13" max="13" width="53.85546875" style="110" customWidth="1"/>
    <col min="14" max="14" width="31.85546875" style="110" customWidth="1"/>
    <col min="15" max="15" width="15.7109375" style="110" customWidth="1"/>
    <col min="16" max="16" width="21.7109375" style="110" customWidth="1"/>
    <col min="17" max="26" width="15.7109375" style="110" customWidth="1"/>
    <col min="27" max="27" width="37.42578125" style="110" customWidth="1"/>
    <col min="28" max="28" width="21.5703125" style="110" customWidth="1"/>
    <col min="29" max="29" width="35.28515625" style="110" customWidth="1"/>
    <col min="30" max="32" width="15.7109375" style="110" customWidth="1"/>
    <col min="33" max="33" width="49" style="110" customWidth="1"/>
    <col min="34" max="34" width="15.7109375" style="110" customWidth="1"/>
    <col min="35" max="38" width="9.140625" style="48"/>
    <col min="39" max="39" width="9" style="110" customWidth="1"/>
    <col min="40" max="16384" width="9.140625" style="110"/>
  </cols>
  <sheetData>
    <row r="1" spans="1:38" ht="20.100000000000001" customHeight="1">
      <c r="A1" s="323" t="s">
        <v>0</v>
      </c>
      <c r="B1" s="323"/>
      <c r="C1" s="323"/>
      <c r="D1" s="323"/>
      <c r="E1" s="323"/>
    </row>
    <row r="2" spans="1:38" ht="20.100000000000001" customHeight="1"/>
    <row r="3" spans="1:38" ht="52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4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3" t="s">
        <v>22</v>
      </c>
      <c r="W3" s="15" t="s">
        <v>23</v>
      </c>
      <c r="X3" s="13" t="s">
        <v>24</v>
      </c>
      <c r="Y3" s="16" t="s">
        <v>25</v>
      </c>
      <c r="Z3" s="16" t="s">
        <v>26</v>
      </c>
      <c r="AA3" s="13" t="s">
        <v>27</v>
      </c>
      <c r="AB3" s="13" t="s">
        <v>28</v>
      </c>
      <c r="AC3" s="13" t="s">
        <v>29</v>
      </c>
      <c r="AD3" s="13"/>
      <c r="AE3" s="13" t="s">
        <v>646</v>
      </c>
      <c r="AF3" s="13" t="s">
        <v>647</v>
      </c>
      <c r="AG3" s="13" t="s">
        <v>645</v>
      </c>
      <c r="AH3" s="13" t="s">
        <v>648</v>
      </c>
    </row>
    <row r="4" spans="1:38" s="156" customFormat="1" ht="20.100000000000001" customHeight="1">
      <c r="A4" s="84" t="str">
        <f>"EHD"&amp;TEXT(ROW(A1),"000")</f>
        <v>EHD001</v>
      </c>
      <c r="B4" s="86" t="s">
        <v>315</v>
      </c>
      <c r="C4" s="86">
        <v>1</v>
      </c>
      <c r="D4" s="86" t="s">
        <v>122</v>
      </c>
      <c r="E4" s="86" t="s">
        <v>309</v>
      </c>
      <c r="F4" s="86" t="s">
        <v>160</v>
      </c>
      <c r="G4" s="86" t="s">
        <v>53</v>
      </c>
      <c r="H4" s="86"/>
      <c r="I4" s="86" t="s">
        <v>125</v>
      </c>
      <c r="J4" s="86">
        <v>1</v>
      </c>
      <c r="K4" s="86"/>
      <c r="L4" s="86" t="s">
        <v>31</v>
      </c>
      <c r="M4" s="86"/>
      <c r="N4" s="84"/>
      <c r="O4" s="86"/>
      <c r="P4" s="86"/>
      <c r="Q4" s="86"/>
      <c r="R4" s="86"/>
      <c r="S4" s="86"/>
      <c r="T4" s="86"/>
      <c r="U4" s="86"/>
      <c r="V4" s="86" t="s">
        <v>42</v>
      </c>
      <c r="W4" s="91">
        <v>1758</v>
      </c>
      <c r="X4" s="89">
        <f>W4/58</f>
        <v>30.310344827586206</v>
      </c>
      <c r="Y4" s="88"/>
      <c r="Z4" s="89"/>
      <c r="AA4" s="86"/>
      <c r="AB4" s="90">
        <f>Y4</f>
        <v>0</v>
      </c>
      <c r="AC4" s="86"/>
      <c r="AD4" s="86"/>
      <c r="AE4" s="86" t="s">
        <v>43</v>
      </c>
      <c r="AF4" s="86" t="s">
        <v>35</v>
      </c>
      <c r="AG4" s="86"/>
      <c r="AH4" s="86"/>
      <c r="AI4" s="185"/>
      <c r="AJ4" s="185"/>
      <c r="AK4" s="185"/>
      <c r="AL4" s="185"/>
    </row>
    <row r="5" spans="1:38" s="156" customFormat="1" ht="20.100000000000001" customHeight="1">
      <c r="A5" s="84" t="str">
        <f>"BS"&amp;TEXT(ROW(A1),"000")</f>
        <v>BS001</v>
      </c>
      <c r="B5" s="86" t="s">
        <v>325</v>
      </c>
      <c r="C5" s="86">
        <v>1</v>
      </c>
      <c r="D5" s="86" t="s">
        <v>122</v>
      </c>
      <c r="E5" s="86" t="s">
        <v>246</v>
      </c>
      <c r="F5" s="86" t="s">
        <v>160</v>
      </c>
      <c r="G5" s="86" t="s">
        <v>53</v>
      </c>
      <c r="H5" s="86"/>
      <c r="I5" s="86" t="s">
        <v>125</v>
      </c>
      <c r="J5" s="86">
        <v>1</v>
      </c>
      <c r="K5" s="86" t="s">
        <v>326</v>
      </c>
      <c r="L5" s="86" t="s">
        <v>31</v>
      </c>
      <c r="M5" s="86" t="s">
        <v>327</v>
      </c>
      <c r="N5" s="84" t="s">
        <v>328</v>
      </c>
      <c r="O5" s="86"/>
      <c r="P5" s="86"/>
      <c r="Q5" s="86"/>
      <c r="R5" s="86"/>
      <c r="S5" s="86"/>
      <c r="T5" s="86"/>
      <c r="U5" s="86"/>
      <c r="V5" s="86" t="s">
        <v>42</v>
      </c>
      <c r="W5" s="91">
        <v>1745</v>
      </c>
      <c r="X5" s="89">
        <f>W5/58</f>
        <v>30.086206896551722</v>
      </c>
      <c r="Y5" s="91"/>
      <c r="Z5" s="89"/>
      <c r="AA5" s="86"/>
      <c r="AB5" s="90">
        <f>Y5</f>
        <v>0</v>
      </c>
      <c r="AC5" s="86"/>
      <c r="AD5" s="86"/>
      <c r="AE5" s="86">
        <v>231113</v>
      </c>
      <c r="AF5" s="86" t="s">
        <v>35</v>
      </c>
      <c r="AG5" s="86"/>
      <c r="AH5" s="86"/>
      <c r="AI5" s="185"/>
      <c r="AJ5" s="185"/>
      <c r="AK5" s="185"/>
      <c r="AL5" s="185"/>
    </row>
    <row r="6" spans="1:38" s="189" customFormat="1" ht="20.100000000000001" customHeight="1">
      <c r="A6" s="84" t="str">
        <f>"BS"&amp;TEXT(ROW(A2),"000")</f>
        <v>BS002</v>
      </c>
      <c r="B6" s="120" t="s">
        <v>325</v>
      </c>
      <c r="C6" s="121">
        <v>2</v>
      </c>
      <c r="D6" s="121" t="s">
        <v>122</v>
      </c>
      <c r="E6" s="121" t="s">
        <v>123</v>
      </c>
      <c r="F6" s="121" t="s">
        <v>160</v>
      </c>
      <c r="G6" s="121" t="s">
        <v>53</v>
      </c>
      <c r="H6" s="121">
        <v>250819</v>
      </c>
      <c r="I6" s="121" t="s">
        <v>125</v>
      </c>
      <c r="J6" s="121">
        <v>1</v>
      </c>
      <c r="K6" s="121" t="s">
        <v>528</v>
      </c>
      <c r="L6" s="121"/>
      <c r="M6" s="122" t="s">
        <v>529</v>
      </c>
      <c r="N6" s="119" t="s">
        <v>530</v>
      </c>
      <c r="O6" s="121"/>
      <c r="P6" s="121"/>
      <c r="Q6" s="121"/>
      <c r="R6" s="121"/>
      <c r="S6" s="121"/>
      <c r="T6" s="121"/>
      <c r="U6" s="121"/>
      <c r="V6" s="120" t="s">
        <v>42</v>
      </c>
      <c r="W6" s="123"/>
      <c r="X6" s="121"/>
      <c r="Y6" s="124"/>
      <c r="Z6" s="124"/>
      <c r="AA6" s="121"/>
      <c r="AB6" s="121"/>
      <c r="AC6" s="121"/>
      <c r="AD6" s="121"/>
      <c r="AE6" s="121">
        <v>250818</v>
      </c>
      <c r="AF6" s="121" t="s">
        <v>360</v>
      </c>
      <c r="AG6" s="121" t="s">
        <v>609</v>
      </c>
      <c r="AH6" s="121"/>
      <c r="AI6" s="187"/>
      <c r="AJ6" s="187"/>
      <c r="AK6" s="187"/>
      <c r="AL6" s="187"/>
    </row>
    <row r="7" spans="1:38" s="189" customFormat="1" ht="20.100000000000001" customHeight="1">
      <c r="A7" s="155" t="str">
        <f>"DESK"&amp;TEXT(ROW(A1),"000")</f>
        <v>DESK001</v>
      </c>
      <c r="B7" s="86" t="s">
        <v>296</v>
      </c>
      <c r="C7" s="86">
        <v>1</v>
      </c>
      <c r="D7" s="86" t="s">
        <v>122</v>
      </c>
      <c r="E7" s="86" t="s">
        <v>163</v>
      </c>
      <c r="F7" s="86" t="s">
        <v>160</v>
      </c>
      <c r="G7" s="86" t="s">
        <v>53</v>
      </c>
      <c r="H7" s="86"/>
      <c r="I7" s="86" t="s">
        <v>125</v>
      </c>
      <c r="J7" s="86">
        <v>1</v>
      </c>
      <c r="K7" s="86" t="s">
        <v>151</v>
      </c>
      <c r="L7" s="86" t="s">
        <v>31</v>
      </c>
      <c r="M7" s="86" t="s">
        <v>297</v>
      </c>
      <c r="N7" s="84" t="s">
        <v>298</v>
      </c>
      <c r="O7" s="86"/>
      <c r="P7" s="86" t="s">
        <v>299</v>
      </c>
      <c r="Q7" s="86" t="s">
        <v>300</v>
      </c>
      <c r="R7" s="86" t="s">
        <v>301</v>
      </c>
      <c r="S7" s="86" t="s">
        <v>236</v>
      </c>
      <c r="T7" s="86" t="s">
        <v>302</v>
      </c>
      <c r="U7" s="86" t="s">
        <v>303</v>
      </c>
      <c r="V7" s="86" t="s">
        <v>42</v>
      </c>
      <c r="W7" s="91"/>
      <c r="X7" s="89">
        <f>W7/58</f>
        <v>0</v>
      </c>
      <c r="Y7" s="91"/>
      <c r="Z7" s="89"/>
      <c r="AA7" s="86"/>
      <c r="AB7" s="90">
        <f>Y7</f>
        <v>0</v>
      </c>
      <c r="AC7" s="86"/>
      <c r="AD7" s="86"/>
      <c r="AE7" s="86">
        <v>220902</v>
      </c>
      <c r="AF7" s="86" t="s">
        <v>35</v>
      </c>
      <c r="AG7" s="86"/>
      <c r="AH7" s="86"/>
      <c r="AI7" s="187"/>
      <c r="AJ7" s="187"/>
      <c r="AK7" s="187"/>
      <c r="AL7" s="187"/>
    </row>
    <row r="8" spans="1:38" s="189" customFormat="1" ht="20.100000000000001" customHeight="1">
      <c r="A8" s="84" t="str">
        <f>"EHD"&amp;TEXT(ROW(A1),"000")</f>
        <v>EHD001</v>
      </c>
      <c r="B8" s="86" t="s">
        <v>316</v>
      </c>
      <c r="C8" s="86">
        <v>3</v>
      </c>
      <c r="D8" s="86" t="s">
        <v>122</v>
      </c>
      <c r="E8" s="86" t="s">
        <v>182</v>
      </c>
      <c r="F8" s="86" t="s">
        <v>317</v>
      </c>
      <c r="G8" s="86" t="s">
        <v>53</v>
      </c>
      <c r="H8" s="86"/>
      <c r="I8" s="86" t="s">
        <v>125</v>
      </c>
      <c r="J8" s="86">
        <v>1</v>
      </c>
      <c r="K8" s="86" t="s">
        <v>218</v>
      </c>
      <c r="L8" s="86" t="s">
        <v>31</v>
      </c>
      <c r="M8" s="86" t="s">
        <v>318</v>
      </c>
      <c r="N8" s="84" t="s">
        <v>319</v>
      </c>
      <c r="O8" s="86"/>
      <c r="P8" s="86"/>
      <c r="Q8" s="86"/>
      <c r="R8" s="86"/>
      <c r="S8" s="86"/>
      <c r="T8" s="86" t="s">
        <v>73</v>
      </c>
      <c r="U8" s="86" t="s">
        <v>320</v>
      </c>
      <c r="V8" s="86" t="s">
        <v>42</v>
      </c>
      <c r="W8" s="91">
        <v>8309</v>
      </c>
      <c r="X8" s="89">
        <f>W8/58</f>
        <v>143.25862068965517</v>
      </c>
      <c r="Y8" s="91"/>
      <c r="Z8" s="89"/>
      <c r="AA8" s="86"/>
      <c r="AB8" s="90">
        <f>Y8</f>
        <v>0</v>
      </c>
      <c r="AC8" s="86"/>
      <c r="AD8" s="86"/>
      <c r="AE8" s="86">
        <v>220902</v>
      </c>
      <c r="AF8" s="86" t="s">
        <v>35</v>
      </c>
      <c r="AG8" s="86"/>
      <c r="AH8" s="86"/>
      <c r="AI8" s="187"/>
      <c r="AJ8" s="187"/>
      <c r="AK8" s="187"/>
      <c r="AL8" s="187"/>
    </row>
    <row r="9" spans="1:38" s="189" customFormat="1" ht="20.100000000000001" customHeight="1">
      <c r="A9" s="95" t="str">
        <f t="shared" ref="A9:A18" si="0">"L"&amp;TEXT(ROW(A1),"000")</f>
        <v>L001</v>
      </c>
      <c r="B9" s="95" t="s">
        <v>110</v>
      </c>
      <c r="C9" s="95">
        <v>1</v>
      </c>
      <c r="D9" s="95" t="s">
        <v>122</v>
      </c>
      <c r="E9" s="95" t="s">
        <v>163</v>
      </c>
      <c r="F9" s="86" t="s">
        <v>124</v>
      </c>
      <c r="G9" s="95" t="s">
        <v>53</v>
      </c>
      <c r="H9" s="95">
        <v>250922</v>
      </c>
      <c r="I9" s="95" t="s">
        <v>125</v>
      </c>
      <c r="J9" s="95">
        <v>1</v>
      </c>
      <c r="K9" s="95" t="s">
        <v>229</v>
      </c>
      <c r="L9" s="95" t="s">
        <v>284</v>
      </c>
      <c r="M9" s="95" t="s">
        <v>542</v>
      </c>
      <c r="N9" s="97" t="s">
        <v>543</v>
      </c>
      <c r="O9" s="95" t="s">
        <v>232</v>
      </c>
      <c r="P9" s="95" t="s">
        <v>496</v>
      </c>
      <c r="Q9" s="95" t="s">
        <v>544</v>
      </c>
      <c r="R9" s="95" t="s">
        <v>497</v>
      </c>
      <c r="S9" s="95" t="s">
        <v>545</v>
      </c>
      <c r="T9" s="95" t="s">
        <v>118</v>
      </c>
      <c r="U9" s="95" t="s">
        <v>237</v>
      </c>
      <c r="V9" s="95" t="s">
        <v>42</v>
      </c>
      <c r="W9" s="100"/>
      <c r="X9" s="95"/>
      <c r="Y9" s="95"/>
      <c r="Z9" s="95"/>
      <c r="AA9" s="95"/>
      <c r="AB9" s="95"/>
      <c r="AC9" s="95"/>
      <c r="AD9" s="95"/>
      <c r="AE9" s="95">
        <v>250923</v>
      </c>
      <c r="AF9" s="95" t="s">
        <v>360</v>
      </c>
      <c r="AG9" s="95"/>
      <c r="AH9" s="95"/>
      <c r="AI9" s="187"/>
      <c r="AJ9" s="187"/>
      <c r="AK9" s="187"/>
      <c r="AL9" s="187"/>
    </row>
    <row r="10" spans="1:38" s="189" customFormat="1" ht="20.100000000000001" customHeight="1">
      <c r="A10" s="95" t="str">
        <f t="shared" si="0"/>
        <v>L002</v>
      </c>
      <c r="B10" s="95" t="s">
        <v>110</v>
      </c>
      <c r="C10" s="95">
        <v>2</v>
      </c>
      <c r="D10" s="95" t="s">
        <v>122</v>
      </c>
      <c r="E10" s="95" t="s">
        <v>176</v>
      </c>
      <c r="F10" s="86" t="s">
        <v>124</v>
      </c>
      <c r="G10" s="95" t="s">
        <v>53</v>
      </c>
      <c r="H10" s="95">
        <v>250922</v>
      </c>
      <c r="I10" s="95" t="s">
        <v>125</v>
      </c>
      <c r="J10" s="95">
        <v>1</v>
      </c>
      <c r="K10" s="95" t="s">
        <v>229</v>
      </c>
      <c r="L10" s="95" t="s">
        <v>284</v>
      </c>
      <c r="M10" s="95" t="s">
        <v>494</v>
      </c>
      <c r="N10" s="95" t="s">
        <v>546</v>
      </c>
      <c r="O10" s="95" t="s">
        <v>144</v>
      </c>
      <c r="P10" s="95" t="s">
        <v>496</v>
      </c>
      <c r="Q10" s="95" t="s">
        <v>547</v>
      </c>
      <c r="R10" s="95" t="s">
        <v>497</v>
      </c>
      <c r="S10" s="95" t="s">
        <v>548</v>
      </c>
      <c r="T10" s="95" t="s">
        <v>118</v>
      </c>
      <c r="U10" s="95" t="s">
        <v>237</v>
      </c>
      <c r="V10" s="95" t="s">
        <v>42</v>
      </c>
      <c r="W10" s="100"/>
      <c r="X10" s="95"/>
      <c r="Y10" s="95"/>
      <c r="Z10" s="95"/>
      <c r="AA10" s="95"/>
      <c r="AB10" s="95"/>
      <c r="AC10" s="95"/>
      <c r="AD10" s="95"/>
      <c r="AE10" s="95">
        <v>250923</v>
      </c>
      <c r="AF10" s="95" t="s">
        <v>360</v>
      </c>
      <c r="AG10" s="95"/>
      <c r="AH10" s="95"/>
      <c r="AI10" s="187"/>
      <c r="AJ10" s="187"/>
      <c r="AK10" s="187"/>
      <c r="AL10" s="187"/>
    </row>
    <row r="11" spans="1:38" s="156" customFormat="1" ht="20.100000000000001" customHeight="1">
      <c r="A11" s="95" t="str">
        <f t="shared" si="0"/>
        <v>L003</v>
      </c>
      <c r="B11" s="86" t="s">
        <v>110</v>
      </c>
      <c r="C11" s="86">
        <v>3</v>
      </c>
      <c r="D11" s="86" t="s">
        <v>122</v>
      </c>
      <c r="E11" s="86" t="s">
        <v>228</v>
      </c>
      <c r="F11" s="86" t="s">
        <v>124</v>
      </c>
      <c r="G11" s="86" t="s">
        <v>53</v>
      </c>
      <c r="H11" s="86"/>
      <c r="I11" s="86" t="s">
        <v>125</v>
      </c>
      <c r="J11" s="86">
        <v>1</v>
      </c>
      <c r="K11" s="86" t="s">
        <v>229</v>
      </c>
      <c r="L11" s="86" t="s">
        <v>31</v>
      </c>
      <c r="M11" s="86" t="s">
        <v>230</v>
      </c>
      <c r="N11" s="84" t="s">
        <v>231</v>
      </c>
      <c r="O11" s="86" t="s">
        <v>232</v>
      </c>
      <c r="P11" s="86" t="s">
        <v>233</v>
      </c>
      <c r="Q11" s="86" t="s">
        <v>234</v>
      </c>
      <c r="R11" s="86" t="s">
        <v>235</v>
      </c>
      <c r="S11" s="86" t="s">
        <v>236</v>
      </c>
      <c r="T11" s="86" t="s">
        <v>118</v>
      </c>
      <c r="U11" s="86" t="s">
        <v>237</v>
      </c>
      <c r="V11" s="86" t="s">
        <v>42</v>
      </c>
      <c r="W11" s="91">
        <v>219990</v>
      </c>
      <c r="X11" s="89">
        <f t="shared" ref="X11:X16" si="1">W11/58</f>
        <v>3792.9310344827586</v>
      </c>
      <c r="Y11" s="91"/>
      <c r="Z11" s="89"/>
      <c r="AA11" s="86"/>
      <c r="AB11" s="91">
        <f>Y11</f>
        <v>0</v>
      </c>
      <c r="AC11" s="86"/>
      <c r="AD11" s="86"/>
      <c r="AE11" s="86">
        <v>220902</v>
      </c>
      <c r="AF11" s="86" t="s">
        <v>35</v>
      </c>
      <c r="AG11" s="86" t="s">
        <v>238</v>
      </c>
      <c r="AH11" s="86"/>
      <c r="AI11" s="185"/>
      <c r="AJ11" s="185"/>
      <c r="AK11" s="185"/>
      <c r="AL11" s="185"/>
    </row>
    <row r="12" spans="1:38" s="156" customFormat="1" ht="20.100000000000001" customHeight="1">
      <c r="A12" s="95" t="str">
        <f t="shared" si="0"/>
        <v>L004</v>
      </c>
      <c r="B12" s="86" t="s">
        <v>110</v>
      </c>
      <c r="C12" s="86">
        <v>4</v>
      </c>
      <c r="D12" s="86" t="s">
        <v>122</v>
      </c>
      <c r="E12" s="86" t="s">
        <v>163</v>
      </c>
      <c r="F12" s="86" t="s">
        <v>124</v>
      </c>
      <c r="G12" s="86" t="s">
        <v>53</v>
      </c>
      <c r="H12" s="86"/>
      <c r="I12" s="86" t="s">
        <v>125</v>
      </c>
      <c r="J12" s="86">
        <v>1</v>
      </c>
      <c r="K12" s="86" t="s">
        <v>229</v>
      </c>
      <c r="L12" s="86" t="s">
        <v>31</v>
      </c>
      <c r="M12" s="86" t="s">
        <v>239</v>
      </c>
      <c r="N12" s="84" t="s">
        <v>240</v>
      </c>
      <c r="O12" s="86" t="s">
        <v>232</v>
      </c>
      <c r="P12" s="86" t="s">
        <v>233</v>
      </c>
      <c r="Q12" s="86" t="s">
        <v>234</v>
      </c>
      <c r="R12" s="86" t="s">
        <v>235</v>
      </c>
      <c r="S12" s="86" t="s">
        <v>236</v>
      </c>
      <c r="T12" s="86" t="s">
        <v>118</v>
      </c>
      <c r="U12" s="86" t="s">
        <v>237</v>
      </c>
      <c r="V12" s="86" t="s">
        <v>42</v>
      </c>
      <c r="W12" s="91">
        <v>219990</v>
      </c>
      <c r="X12" s="89">
        <f t="shared" si="1"/>
        <v>3792.9310344827586</v>
      </c>
      <c r="Y12" s="91"/>
      <c r="Z12" s="89"/>
      <c r="AA12" s="86"/>
      <c r="AB12" s="91">
        <f>Y12</f>
        <v>0</v>
      </c>
      <c r="AC12" s="86"/>
      <c r="AD12" s="86"/>
      <c r="AE12" s="86">
        <v>220902</v>
      </c>
      <c r="AF12" s="86" t="s">
        <v>35</v>
      </c>
      <c r="AG12" s="86"/>
      <c r="AH12" s="86"/>
      <c r="AI12" s="185"/>
      <c r="AJ12" s="185"/>
      <c r="AK12" s="185"/>
      <c r="AL12" s="185"/>
    </row>
    <row r="13" spans="1:38" s="156" customFormat="1" ht="20.100000000000001" customHeight="1">
      <c r="A13" s="95" t="str">
        <f t="shared" si="0"/>
        <v>L005</v>
      </c>
      <c r="B13" s="95" t="s">
        <v>110</v>
      </c>
      <c r="C13" s="95">
        <v>5</v>
      </c>
      <c r="D13" s="95" t="s">
        <v>122</v>
      </c>
      <c r="E13" s="95" t="s">
        <v>182</v>
      </c>
      <c r="F13" s="86" t="s">
        <v>124</v>
      </c>
      <c r="G13" s="95" t="s">
        <v>99</v>
      </c>
      <c r="H13" s="95">
        <v>250819</v>
      </c>
      <c r="I13" s="95" t="s">
        <v>125</v>
      </c>
      <c r="J13" s="95">
        <v>1</v>
      </c>
      <c r="K13" s="95" t="s">
        <v>229</v>
      </c>
      <c r="L13" s="95" t="s">
        <v>460</v>
      </c>
      <c r="M13" s="95" t="s">
        <v>494</v>
      </c>
      <c r="N13" s="97" t="s">
        <v>495</v>
      </c>
      <c r="O13" s="95" t="s">
        <v>144</v>
      </c>
      <c r="P13" s="95" t="s">
        <v>496</v>
      </c>
      <c r="Q13" s="95"/>
      <c r="R13" s="95" t="s">
        <v>497</v>
      </c>
      <c r="S13" s="95" t="s">
        <v>498</v>
      </c>
      <c r="T13" s="95" t="s">
        <v>118</v>
      </c>
      <c r="U13" s="95" t="s">
        <v>148</v>
      </c>
      <c r="V13" s="95" t="s">
        <v>42</v>
      </c>
      <c r="W13" s="100">
        <v>129990</v>
      </c>
      <c r="X13" s="108">
        <f t="shared" si="1"/>
        <v>2241.2068965517242</v>
      </c>
      <c r="Y13" s="98"/>
      <c r="Z13" s="98"/>
      <c r="AA13" s="95"/>
      <c r="AB13" s="95"/>
      <c r="AC13" s="95"/>
      <c r="AD13" s="95"/>
      <c r="AE13" s="95">
        <v>250818</v>
      </c>
      <c r="AF13" s="95" t="s">
        <v>360</v>
      </c>
      <c r="AG13" s="95"/>
      <c r="AH13" s="95"/>
      <c r="AI13" s="185"/>
      <c r="AJ13" s="185"/>
      <c r="AK13" s="185"/>
      <c r="AL13" s="185"/>
    </row>
    <row r="14" spans="1:38" s="156" customFormat="1" ht="20.100000000000001" customHeight="1">
      <c r="A14" s="95" t="str">
        <f t="shared" si="0"/>
        <v>L006</v>
      </c>
      <c r="B14" s="95" t="s">
        <v>110</v>
      </c>
      <c r="C14" s="95">
        <v>6</v>
      </c>
      <c r="D14" s="95" t="s">
        <v>122</v>
      </c>
      <c r="E14" s="95" t="s">
        <v>355</v>
      </c>
      <c r="F14" s="86" t="s">
        <v>124</v>
      </c>
      <c r="G14" s="95" t="s">
        <v>99</v>
      </c>
      <c r="H14" s="95">
        <v>250819</v>
      </c>
      <c r="I14" s="95" t="s">
        <v>125</v>
      </c>
      <c r="J14" s="95">
        <v>1</v>
      </c>
      <c r="K14" s="95" t="s">
        <v>229</v>
      </c>
      <c r="L14" s="95" t="s">
        <v>460</v>
      </c>
      <c r="M14" s="95" t="s">
        <v>499</v>
      </c>
      <c r="N14" s="97" t="s">
        <v>500</v>
      </c>
      <c r="O14" s="95" t="s">
        <v>144</v>
      </c>
      <c r="P14" s="95" t="s">
        <v>496</v>
      </c>
      <c r="Q14" s="95"/>
      <c r="R14" s="95" t="s">
        <v>497</v>
      </c>
      <c r="S14" s="95" t="s">
        <v>498</v>
      </c>
      <c r="T14" s="95" t="s">
        <v>118</v>
      </c>
      <c r="U14" s="95" t="s">
        <v>148</v>
      </c>
      <c r="V14" s="95" t="s">
        <v>42</v>
      </c>
      <c r="W14" s="100">
        <v>129990</v>
      </c>
      <c r="X14" s="108">
        <f t="shared" si="1"/>
        <v>2241.2068965517242</v>
      </c>
      <c r="Y14" s="98"/>
      <c r="Z14" s="98"/>
      <c r="AA14" s="95"/>
      <c r="AB14" s="95"/>
      <c r="AC14" s="95"/>
      <c r="AD14" s="95"/>
      <c r="AE14" s="95">
        <v>250818</v>
      </c>
      <c r="AF14" s="95" t="s">
        <v>360</v>
      </c>
      <c r="AG14" s="95"/>
      <c r="AH14" s="95"/>
      <c r="AI14" s="185"/>
      <c r="AJ14" s="185"/>
      <c r="AK14" s="185"/>
      <c r="AL14" s="185"/>
    </row>
    <row r="15" spans="1:38" s="156" customFormat="1" ht="20.100000000000001" customHeight="1">
      <c r="A15" s="95" t="str">
        <f t="shared" si="0"/>
        <v>L007</v>
      </c>
      <c r="B15" s="86" t="s">
        <v>110</v>
      </c>
      <c r="C15" s="86">
        <v>7</v>
      </c>
      <c r="D15" s="86" t="s">
        <v>122</v>
      </c>
      <c r="E15" s="86" t="s">
        <v>123</v>
      </c>
      <c r="F15" s="86" t="s">
        <v>124</v>
      </c>
      <c r="G15" s="86" t="s">
        <v>53</v>
      </c>
      <c r="H15" s="86"/>
      <c r="I15" s="86" t="s">
        <v>125</v>
      </c>
      <c r="J15" s="86">
        <v>1</v>
      </c>
      <c r="K15" s="86" t="s">
        <v>229</v>
      </c>
      <c r="L15" s="86" t="s">
        <v>31</v>
      </c>
      <c r="M15" s="86" t="s">
        <v>259</v>
      </c>
      <c r="N15" s="84" t="s">
        <v>260</v>
      </c>
      <c r="O15" s="86" t="s">
        <v>254</v>
      </c>
      <c r="P15" s="92" t="s">
        <v>261</v>
      </c>
      <c r="Q15" s="86"/>
      <c r="R15" s="86" t="s">
        <v>262</v>
      </c>
      <c r="S15" s="86" t="s">
        <v>66</v>
      </c>
      <c r="T15" s="86" t="s">
        <v>118</v>
      </c>
      <c r="U15" s="86" t="s">
        <v>119</v>
      </c>
      <c r="V15" s="86" t="s">
        <v>42</v>
      </c>
      <c r="W15" s="91">
        <v>82990</v>
      </c>
      <c r="X15" s="89">
        <f t="shared" si="1"/>
        <v>1430.8620689655172</v>
      </c>
      <c r="Y15" s="88"/>
      <c r="Z15" s="89"/>
      <c r="AA15" s="86"/>
      <c r="AB15" s="91">
        <f>Y15</f>
        <v>0</v>
      </c>
      <c r="AC15" s="86"/>
      <c r="AD15" s="86"/>
      <c r="AE15" s="86">
        <v>230623</v>
      </c>
      <c r="AF15" s="86" t="s">
        <v>35</v>
      </c>
      <c r="AG15" s="86" t="s">
        <v>263</v>
      </c>
      <c r="AH15" s="86">
        <v>250818</v>
      </c>
      <c r="AI15" s="185"/>
      <c r="AJ15" s="185"/>
      <c r="AK15" s="185"/>
      <c r="AL15" s="185"/>
    </row>
    <row r="16" spans="1:38" s="156" customFormat="1" ht="20.100000000000001" customHeight="1">
      <c r="A16" s="95" t="str">
        <f t="shared" si="0"/>
        <v>L008</v>
      </c>
      <c r="B16" s="86" t="s">
        <v>110</v>
      </c>
      <c r="C16" s="86">
        <v>8</v>
      </c>
      <c r="D16" s="86" t="s">
        <v>122</v>
      </c>
      <c r="E16" s="86" t="s">
        <v>246</v>
      </c>
      <c r="F16" s="86" t="s">
        <v>160</v>
      </c>
      <c r="G16" s="86" t="s">
        <v>53</v>
      </c>
      <c r="H16" s="86"/>
      <c r="I16" s="86" t="s">
        <v>125</v>
      </c>
      <c r="J16" s="86">
        <v>1</v>
      </c>
      <c r="K16" s="86" t="s">
        <v>229</v>
      </c>
      <c r="L16" s="86" t="s">
        <v>31</v>
      </c>
      <c r="M16" s="86" t="s">
        <v>247</v>
      </c>
      <c r="N16" s="84" t="s">
        <v>248</v>
      </c>
      <c r="O16" s="86" t="s">
        <v>249</v>
      </c>
      <c r="P16" s="86"/>
      <c r="Q16" s="86"/>
      <c r="R16" s="86" t="s">
        <v>250</v>
      </c>
      <c r="S16" s="86" t="s">
        <v>117</v>
      </c>
      <c r="T16" s="86" t="s">
        <v>118</v>
      </c>
      <c r="U16" s="86" t="s">
        <v>119</v>
      </c>
      <c r="V16" s="86" t="s">
        <v>42</v>
      </c>
      <c r="W16" s="91">
        <v>39895</v>
      </c>
      <c r="X16" s="89">
        <f t="shared" si="1"/>
        <v>687.84482758620686</v>
      </c>
      <c r="Y16" s="88"/>
      <c r="Z16" s="89"/>
      <c r="AA16" s="86"/>
      <c r="AB16" s="91">
        <f>Y16</f>
        <v>0</v>
      </c>
      <c r="AC16" s="86"/>
      <c r="AD16" s="86"/>
      <c r="AE16" s="86">
        <v>220421</v>
      </c>
      <c r="AF16" s="86" t="s">
        <v>35</v>
      </c>
      <c r="AG16" s="86" t="s">
        <v>185</v>
      </c>
      <c r="AH16" s="86">
        <v>241220</v>
      </c>
      <c r="AI16" s="185"/>
      <c r="AJ16" s="185"/>
      <c r="AK16" s="185"/>
      <c r="AL16" s="185"/>
    </row>
    <row r="17" spans="1:38" s="156" customFormat="1" ht="20.100000000000001" customHeight="1">
      <c r="A17" s="95" t="str">
        <f t="shared" si="0"/>
        <v>L009</v>
      </c>
      <c r="B17" s="95" t="s">
        <v>110</v>
      </c>
      <c r="C17" s="95">
        <v>9</v>
      </c>
      <c r="D17" s="95" t="s">
        <v>122</v>
      </c>
      <c r="E17" s="95" t="s">
        <v>163</v>
      </c>
      <c r="F17" s="95" t="s">
        <v>124</v>
      </c>
      <c r="G17" s="95" t="s">
        <v>53</v>
      </c>
      <c r="H17" s="95">
        <v>251103</v>
      </c>
      <c r="I17" s="95" t="s">
        <v>125</v>
      </c>
      <c r="J17" s="95">
        <v>1</v>
      </c>
      <c r="K17" s="95" t="s">
        <v>63</v>
      </c>
      <c r="L17" s="95" t="s">
        <v>284</v>
      </c>
      <c r="M17" s="95" t="s">
        <v>635</v>
      </c>
      <c r="N17" s="195" t="s">
        <v>614</v>
      </c>
      <c r="O17" s="95" t="s">
        <v>232</v>
      </c>
      <c r="P17" s="95" t="s">
        <v>636</v>
      </c>
      <c r="Q17" s="95"/>
      <c r="R17" s="95" t="s">
        <v>283</v>
      </c>
      <c r="S17" s="95" t="s">
        <v>236</v>
      </c>
      <c r="T17" s="95" t="s">
        <v>118</v>
      </c>
      <c r="U17" s="95" t="s">
        <v>74</v>
      </c>
      <c r="V17" s="95" t="s">
        <v>42</v>
      </c>
      <c r="W17" s="95"/>
      <c r="X17" s="95"/>
      <c r="Y17" s="95"/>
      <c r="Z17" s="95"/>
      <c r="AA17" s="95"/>
      <c r="AB17" s="95"/>
      <c r="AC17" s="95"/>
      <c r="AD17" s="109"/>
      <c r="AE17" s="109">
        <v>251103</v>
      </c>
      <c r="AF17" s="95" t="s">
        <v>360</v>
      </c>
      <c r="AG17" s="109" t="s">
        <v>615</v>
      </c>
      <c r="AH17" s="109"/>
      <c r="AI17" s="185"/>
      <c r="AJ17" s="185"/>
      <c r="AK17" s="185"/>
      <c r="AL17" s="185"/>
    </row>
    <row r="18" spans="1:38" s="156" customFormat="1" ht="20.100000000000001" customHeight="1">
      <c r="A18" s="95" t="str">
        <f t="shared" si="0"/>
        <v>L010</v>
      </c>
      <c r="B18" s="86" t="s">
        <v>110</v>
      </c>
      <c r="C18" s="86">
        <v>10</v>
      </c>
      <c r="D18" s="86" t="s">
        <v>122</v>
      </c>
      <c r="E18" s="86" t="s">
        <v>246</v>
      </c>
      <c r="F18" s="86" t="s">
        <v>160</v>
      </c>
      <c r="G18" s="86" t="s">
        <v>53</v>
      </c>
      <c r="H18" s="86"/>
      <c r="I18" s="86" t="s">
        <v>125</v>
      </c>
      <c r="J18" s="86">
        <v>1</v>
      </c>
      <c r="K18" s="86" t="s">
        <v>37</v>
      </c>
      <c r="L18" s="86" t="s">
        <v>31</v>
      </c>
      <c r="M18" s="86" t="s">
        <v>264</v>
      </c>
      <c r="N18" s="84" t="s">
        <v>265</v>
      </c>
      <c r="O18" s="86" t="s">
        <v>113</v>
      </c>
      <c r="P18" s="86" t="s">
        <v>266</v>
      </c>
      <c r="Q18" s="86" t="s">
        <v>267</v>
      </c>
      <c r="R18" s="86" t="s">
        <v>268</v>
      </c>
      <c r="S18" s="86" t="s">
        <v>131</v>
      </c>
      <c r="T18" s="86" t="s">
        <v>118</v>
      </c>
      <c r="U18" s="86" t="s">
        <v>258</v>
      </c>
      <c r="V18" s="86" t="s">
        <v>42</v>
      </c>
      <c r="W18" s="91">
        <v>25195</v>
      </c>
      <c r="X18" s="89">
        <f>W18/58</f>
        <v>434.39655172413791</v>
      </c>
      <c r="Y18" s="91"/>
      <c r="Z18" s="89"/>
      <c r="AA18" s="86"/>
      <c r="AB18" s="91">
        <f>Y18</f>
        <v>0</v>
      </c>
      <c r="AC18" s="86"/>
      <c r="AD18" s="86"/>
      <c r="AE18" s="86">
        <v>231030</v>
      </c>
      <c r="AF18" s="86" t="s">
        <v>35</v>
      </c>
      <c r="AG18" s="86"/>
      <c r="AH18" s="86"/>
      <c r="AI18" s="185"/>
      <c r="AJ18" s="185"/>
      <c r="AK18" s="185"/>
      <c r="AL18" s="185"/>
    </row>
    <row r="19" spans="1:38" s="156" customFormat="1" ht="20.100000000000001" customHeight="1">
      <c r="A19" s="95" t="str">
        <f t="shared" ref="A19:A25" si="2">"M"&amp;TEXT(ROW(A1),"000")</f>
        <v>M001</v>
      </c>
      <c r="B19" s="95" t="s">
        <v>36</v>
      </c>
      <c r="C19" s="95">
        <v>1</v>
      </c>
      <c r="D19" s="95" t="s">
        <v>122</v>
      </c>
      <c r="E19" s="95" t="s">
        <v>163</v>
      </c>
      <c r="F19" s="95" t="s">
        <v>177</v>
      </c>
      <c r="G19" s="86" t="s">
        <v>53</v>
      </c>
      <c r="H19" s="95">
        <v>251103</v>
      </c>
      <c r="I19" s="86" t="s">
        <v>125</v>
      </c>
      <c r="J19" s="95">
        <v>1</v>
      </c>
      <c r="K19" s="95" t="s">
        <v>501</v>
      </c>
      <c r="L19" s="95" t="s">
        <v>284</v>
      </c>
      <c r="M19" s="95" t="s">
        <v>502</v>
      </c>
      <c r="N19" s="95" t="s">
        <v>617</v>
      </c>
      <c r="O19" s="95" t="s">
        <v>153</v>
      </c>
      <c r="P19" s="95"/>
      <c r="Q19" s="95"/>
      <c r="R19" s="95"/>
      <c r="S19" s="95"/>
      <c r="T19" s="95"/>
      <c r="U19" s="95"/>
      <c r="V19" s="95" t="s">
        <v>42</v>
      </c>
      <c r="W19" s="95"/>
      <c r="X19" s="95"/>
      <c r="Y19" s="95"/>
      <c r="Z19" s="95"/>
      <c r="AA19" s="95"/>
      <c r="AB19" s="95"/>
      <c r="AC19" s="95"/>
      <c r="AD19" s="95"/>
      <c r="AE19" s="95">
        <v>250311</v>
      </c>
      <c r="AF19" s="95" t="s">
        <v>360</v>
      </c>
      <c r="AG19" s="95" t="s">
        <v>615</v>
      </c>
      <c r="AH19" s="95"/>
      <c r="AI19" s="185"/>
      <c r="AJ19" s="185"/>
      <c r="AK19" s="185"/>
      <c r="AL19" s="185"/>
    </row>
    <row r="20" spans="1:38" s="156" customFormat="1" ht="20.100000000000001" customHeight="1">
      <c r="A20" s="95" t="str">
        <f t="shared" si="2"/>
        <v>M002</v>
      </c>
      <c r="B20" s="95" t="s">
        <v>36</v>
      </c>
      <c r="C20" s="95">
        <v>2</v>
      </c>
      <c r="D20" s="95" t="s">
        <v>122</v>
      </c>
      <c r="E20" s="95" t="s">
        <v>176</v>
      </c>
      <c r="F20" s="95" t="s">
        <v>160</v>
      </c>
      <c r="G20" s="86" t="s">
        <v>53</v>
      </c>
      <c r="H20" s="95">
        <v>251103</v>
      </c>
      <c r="I20" s="86" t="s">
        <v>125</v>
      </c>
      <c r="J20" s="95">
        <v>1</v>
      </c>
      <c r="K20" s="95" t="s">
        <v>501</v>
      </c>
      <c r="L20" s="95" t="s">
        <v>284</v>
      </c>
      <c r="M20" s="95" t="s">
        <v>502</v>
      </c>
      <c r="N20" s="95" t="s">
        <v>616</v>
      </c>
      <c r="O20" s="95" t="s">
        <v>153</v>
      </c>
      <c r="P20" s="95"/>
      <c r="Q20" s="95"/>
      <c r="R20" s="95"/>
      <c r="S20" s="95"/>
      <c r="T20" s="95"/>
      <c r="U20" s="95"/>
      <c r="V20" s="95" t="s">
        <v>42</v>
      </c>
      <c r="W20" s="95"/>
      <c r="X20" s="95"/>
      <c r="Y20" s="95"/>
      <c r="Z20" s="95"/>
      <c r="AA20" s="95"/>
      <c r="AB20" s="95"/>
      <c r="AC20" s="95"/>
      <c r="AD20" s="95"/>
      <c r="AE20" s="95">
        <v>250311</v>
      </c>
      <c r="AF20" s="95" t="s">
        <v>360</v>
      </c>
      <c r="AG20" s="95" t="s">
        <v>615</v>
      </c>
      <c r="AH20" s="95"/>
      <c r="AI20" s="185"/>
      <c r="AJ20" s="185"/>
      <c r="AK20" s="185"/>
      <c r="AL20" s="185"/>
    </row>
    <row r="21" spans="1:38" s="156" customFormat="1" ht="20.100000000000001" customHeight="1">
      <c r="A21" s="95" t="str">
        <f t="shared" si="2"/>
        <v>M003</v>
      </c>
      <c r="B21" s="95" t="s">
        <v>36</v>
      </c>
      <c r="C21" s="95">
        <v>3</v>
      </c>
      <c r="D21" s="95" t="s">
        <v>122</v>
      </c>
      <c r="E21" s="95" t="s">
        <v>163</v>
      </c>
      <c r="F21" s="95" t="s">
        <v>160</v>
      </c>
      <c r="G21" s="86" t="s">
        <v>53</v>
      </c>
      <c r="H21" s="95">
        <v>250819</v>
      </c>
      <c r="I21" s="86" t="s">
        <v>125</v>
      </c>
      <c r="J21" s="95">
        <v>1</v>
      </c>
      <c r="K21" s="95" t="s">
        <v>501</v>
      </c>
      <c r="L21" s="95" t="s">
        <v>460</v>
      </c>
      <c r="M21" s="95" t="s">
        <v>502</v>
      </c>
      <c r="N21" s="97" t="s">
        <v>503</v>
      </c>
      <c r="O21" s="95" t="s">
        <v>153</v>
      </c>
      <c r="P21" s="95"/>
      <c r="Q21" s="95"/>
      <c r="R21" s="95"/>
      <c r="S21" s="95"/>
      <c r="T21" s="95"/>
      <c r="U21" s="95"/>
      <c r="V21" s="95" t="s">
        <v>42</v>
      </c>
      <c r="W21" s="100">
        <v>15235</v>
      </c>
      <c r="X21" s="108">
        <f>W21/58</f>
        <v>262.67241379310343</v>
      </c>
      <c r="Y21" s="98"/>
      <c r="Z21" s="98"/>
      <c r="AA21" s="95"/>
      <c r="AB21" s="95"/>
      <c r="AC21" s="95"/>
      <c r="AD21" s="95"/>
      <c r="AE21" s="95">
        <v>250818</v>
      </c>
      <c r="AF21" s="95" t="s">
        <v>360</v>
      </c>
      <c r="AG21" s="95"/>
      <c r="AH21" s="95"/>
      <c r="AI21" s="185"/>
      <c r="AJ21" s="185"/>
      <c r="AK21" s="185"/>
      <c r="AL21" s="185"/>
    </row>
    <row r="22" spans="1:38" s="156" customFormat="1" ht="20.100000000000001" customHeight="1">
      <c r="A22" s="95" t="str">
        <f t="shared" si="2"/>
        <v>M004</v>
      </c>
      <c r="B22" s="95" t="s">
        <v>36</v>
      </c>
      <c r="C22" s="95">
        <v>4</v>
      </c>
      <c r="D22" s="95" t="s">
        <v>122</v>
      </c>
      <c r="E22" s="96" t="s">
        <v>123</v>
      </c>
      <c r="F22" s="85" t="s">
        <v>177</v>
      </c>
      <c r="G22" s="86" t="s">
        <v>53</v>
      </c>
      <c r="H22" s="95">
        <v>250420</v>
      </c>
      <c r="I22" s="86" t="s">
        <v>125</v>
      </c>
      <c r="J22" s="95">
        <v>1</v>
      </c>
      <c r="K22" s="95" t="s">
        <v>44</v>
      </c>
      <c r="L22" s="95" t="s">
        <v>479</v>
      </c>
      <c r="M22" s="95" t="s">
        <v>178</v>
      </c>
      <c r="N22" s="97" t="s">
        <v>480</v>
      </c>
      <c r="O22" s="95" t="s">
        <v>153</v>
      </c>
      <c r="P22" s="95"/>
      <c r="Q22" s="95" t="s">
        <v>481</v>
      </c>
      <c r="R22" s="95"/>
      <c r="S22" s="95"/>
      <c r="T22" s="95"/>
      <c r="U22" s="95"/>
      <c r="V22" s="95" t="s">
        <v>42</v>
      </c>
      <c r="W22" s="95"/>
      <c r="X22" s="95"/>
      <c r="Y22" s="98"/>
      <c r="Z22" s="99"/>
      <c r="AA22" s="95"/>
      <c r="AB22" s="95"/>
      <c r="AC22" s="95"/>
      <c r="AD22" s="95"/>
      <c r="AE22" s="95">
        <v>250420</v>
      </c>
      <c r="AF22" s="95" t="s">
        <v>360</v>
      </c>
      <c r="AG22" s="95"/>
      <c r="AH22" s="95"/>
      <c r="AI22" s="185"/>
      <c r="AJ22" s="185"/>
      <c r="AK22" s="185"/>
      <c r="AL22" s="185"/>
    </row>
    <row r="23" spans="1:38" s="156" customFormat="1" ht="20.100000000000001" customHeight="1">
      <c r="A23" s="95" t="str">
        <f t="shared" si="2"/>
        <v>M005</v>
      </c>
      <c r="B23" s="86" t="s">
        <v>36</v>
      </c>
      <c r="C23" s="86">
        <v>5</v>
      </c>
      <c r="D23" s="86" t="s">
        <v>122</v>
      </c>
      <c r="E23" s="86" t="s">
        <v>182</v>
      </c>
      <c r="F23" s="85" t="s">
        <v>177</v>
      </c>
      <c r="G23" s="86" t="s">
        <v>53</v>
      </c>
      <c r="H23" s="86">
        <v>241004</v>
      </c>
      <c r="I23" s="86" t="s">
        <v>125</v>
      </c>
      <c r="J23" s="86">
        <v>1</v>
      </c>
      <c r="K23" s="86" t="s">
        <v>151</v>
      </c>
      <c r="L23" s="86" t="s">
        <v>31</v>
      </c>
      <c r="M23" s="86" t="s">
        <v>183</v>
      </c>
      <c r="N23" s="84" t="s">
        <v>184</v>
      </c>
      <c r="O23" s="86" t="s">
        <v>153</v>
      </c>
      <c r="P23" s="86"/>
      <c r="Q23" s="86" t="s">
        <v>154</v>
      </c>
      <c r="R23" s="86"/>
      <c r="S23" s="86"/>
      <c r="T23" s="86"/>
      <c r="U23" s="86"/>
      <c r="V23" s="86" t="s">
        <v>42</v>
      </c>
      <c r="W23" s="91">
        <v>8236</v>
      </c>
      <c r="X23" s="89">
        <f>W23/58</f>
        <v>142</v>
      </c>
      <c r="Y23" s="88"/>
      <c r="Z23" s="89"/>
      <c r="AA23" s="86"/>
      <c r="AB23" s="90">
        <f>Y23</f>
        <v>0</v>
      </c>
      <c r="AC23" s="86"/>
      <c r="AD23" s="86"/>
      <c r="AE23" s="86">
        <v>240308</v>
      </c>
      <c r="AF23" s="86" t="s">
        <v>35</v>
      </c>
      <c r="AG23" s="86" t="s">
        <v>185</v>
      </c>
      <c r="AH23" s="86"/>
      <c r="AI23" s="185"/>
      <c r="AJ23" s="185"/>
      <c r="AK23" s="185"/>
      <c r="AL23" s="185"/>
    </row>
    <row r="24" spans="1:38" s="156" customFormat="1" ht="20.100000000000001" customHeight="1">
      <c r="A24" s="95" t="str">
        <f t="shared" si="2"/>
        <v>M006</v>
      </c>
      <c r="B24" s="86" t="s">
        <v>36</v>
      </c>
      <c r="C24" s="86">
        <v>6</v>
      </c>
      <c r="D24" s="86" t="s">
        <v>122</v>
      </c>
      <c r="E24" s="86" t="s">
        <v>355</v>
      </c>
      <c r="F24" s="85" t="s">
        <v>177</v>
      </c>
      <c r="G24" s="86" t="s">
        <v>53</v>
      </c>
      <c r="H24" s="86">
        <v>241004</v>
      </c>
      <c r="I24" s="86" t="s">
        <v>125</v>
      </c>
      <c r="J24" s="86">
        <v>1</v>
      </c>
      <c r="K24" s="86" t="s">
        <v>44</v>
      </c>
      <c r="L24" s="86" t="s">
        <v>31</v>
      </c>
      <c r="M24" s="86" t="s">
        <v>178</v>
      </c>
      <c r="N24" s="84" t="s">
        <v>179</v>
      </c>
      <c r="O24" s="86" t="s">
        <v>153</v>
      </c>
      <c r="P24" s="86"/>
      <c r="Q24" s="86" t="s">
        <v>180</v>
      </c>
      <c r="R24" s="86"/>
      <c r="S24" s="86"/>
      <c r="T24" s="86"/>
      <c r="U24" s="86"/>
      <c r="V24" s="86" t="s">
        <v>42</v>
      </c>
      <c r="W24" s="91">
        <v>9338</v>
      </c>
      <c r="X24" s="89">
        <f>W24/58</f>
        <v>161</v>
      </c>
      <c r="Y24" s="88"/>
      <c r="Z24" s="89"/>
      <c r="AA24" s="86"/>
      <c r="AB24" s="90">
        <f>Y24</f>
        <v>0</v>
      </c>
      <c r="AC24" s="86"/>
      <c r="AD24" s="86"/>
      <c r="AE24" s="86">
        <v>231103</v>
      </c>
      <c r="AF24" s="86" t="s">
        <v>35</v>
      </c>
      <c r="AG24" s="86" t="s">
        <v>181</v>
      </c>
      <c r="AH24" s="86"/>
      <c r="AI24" s="185"/>
      <c r="AJ24" s="185"/>
      <c r="AK24" s="185"/>
      <c r="AL24" s="185"/>
    </row>
    <row r="25" spans="1:38" s="156" customFormat="1" ht="20.100000000000001" customHeight="1">
      <c r="A25" s="95" t="str">
        <f t="shared" si="2"/>
        <v>M007</v>
      </c>
      <c r="B25" s="86" t="s">
        <v>36</v>
      </c>
      <c r="C25" s="86">
        <v>7</v>
      </c>
      <c r="D25" s="86" t="s">
        <v>122</v>
      </c>
      <c r="E25" s="86" t="s">
        <v>228</v>
      </c>
      <c r="F25" s="85" t="s">
        <v>177</v>
      </c>
      <c r="G25" s="86" t="s">
        <v>53</v>
      </c>
      <c r="H25" s="86">
        <v>241004</v>
      </c>
      <c r="I25" s="86" t="s">
        <v>125</v>
      </c>
      <c r="J25" s="86">
        <v>1</v>
      </c>
      <c r="K25" s="86" t="s">
        <v>164</v>
      </c>
      <c r="L25" s="86" t="s">
        <v>31</v>
      </c>
      <c r="M25" s="86" t="s">
        <v>165</v>
      </c>
      <c r="N25" s="84" t="s">
        <v>166</v>
      </c>
      <c r="O25" s="86" t="s">
        <v>167</v>
      </c>
      <c r="P25" s="86"/>
      <c r="Q25" s="86" t="s">
        <v>41</v>
      </c>
      <c r="R25" s="86"/>
      <c r="S25" s="86"/>
      <c r="T25" s="86"/>
      <c r="U25" s="86"/>
      <c r="V25" s="86" t="s">
        <v>42</v>
      </c>
      <c r="W25" s="91">
        <v>15950</v>
      </c>
      <c r="X25" s="89">
        <f>W25/58</f>
        <v>275</v>
      </c>
      <c r="Y25" s="91"/>
      <c r="Z25" s="89"/>
      <c r="AA25" s="86"/>
      <c r="AB25" s="90">
        <f>Y25</f>
        <v>0</v>
      </c>
      <c r="AC25" s="86"/>
      <c r="AD25" s="86"/>
      <c r="AE25" s="86">
        <v>231030</v>
      </c>
      <c r="AF25" s="86" t="s">
        <v>35</v>
      </c>
      <c r="AG25" s="86" t="s">
        <v>638</v>
      </c>
      <c r="AH25" s="86">
        <v>251103</v>
      </c>
      <c r="AI25" s="185"/>
      <c r="AJ25" s="185"/>
      <c r="AK25" s="185"/>
      <c r="AL25" s="185"/>
    </row>
    <row r="26" spans="1:38" s="156" customFormat="1" ht="20.100000000000001" customHeight="1">
      <c r="A26" s="95" t="str">
        <f t="shared" ref="A26:A31" si="3">"MOU"&amp;TEXT(ROW(A1),"000")</f>
        <v>MOU001</v>
      </c>
      <c r="B26" s="85" t="s">
        <v>336</v>
      </c>
      <c r="C26" s="95">
        <v>1</v>
      </c>
      <c r="D26" s="95" t="s">
        <v>122</v>
      </c>
      <c r="E26" s="105" t="s">
        <v>163</v>
      </c>
      <c r="F26" s="95" t="s">
        <v>124</v>
      </c>
      <c r="G26" s="95" t="s">
        <v>53</v>
      </c>
      <c r="H26" s="95">
        <v>251103</v>
      </c>
      <c r="I26" s="95" t="s">
        <v>125</v>
      </c>
      <c r="J26" s="95">
        <v>1</v>
      </c>
      <c r="K26" s="95" t="s">
        <v>604</v>
      </c>
      <c r="L26" s="95" t="s">
        <v>284</v>
      </c>
      <c r="M26" s="95" t="s">
        <v>603</v>
      </c>
      <c r="N26" s="195" t="s">
        <v>605</v>
      </c>
      <c r="O26" s="95"/>
      <c r="P26" s="95"/>
      <c r="Q26" s="95"/>
      <c r="R26" s="95"/>
      <c r="S26" s="95"/>
      <c r="T26" s="95"/>
      <c r="U26" s="95"/>
      <c r="V26" s="95" t="s">
        <v>42</v>
      </c>
      <c r="W26" s="95"/>
      <c r="X26" s="95"/>
      <c r="Y26" s="95"/>
      <c r="Z26" s="95"/>
      <c r="AA26" s="95"/>
      <c r="AB26" s="95"/>
      <c r="AC26" s="95"/>
      <c r="AD26" s="109"/>
      <c r="AE26" s="109">
        <v>251103</v>
      </c>
      <c r="AF26" s="109" t="s">
        <v>360</v>
      </c>
      <c r="AG26" s="109" t="s">
        <v>609</v>
      </c>
      <c r="AH26" s="109"/>
      <c r="AI26" s="185"/>
      <c r="AJ26" s="185"/>
      <c r="AK26" s="185"/>
      <c r="AL26" s="185"/>
    </row>
    <row r="27" spans="1:38" s="156" customFormat="1" ht="20.100000000000001" customHeight="1">
      <c r="A27" s="95" t="str">
        <f t="shared" si="3"/>
        <v>MOU002</v>
      </c>
      <c r="B27" s="85" t="s">
        <v>336</v>
      </c>
      <c r="C27" s="95">
        <v>2</v>
      </c>
      <c r="D27" s="95" t="s">
        <v>122</v>
      </c>
      <c r="E27" s="105" t="s">
        <v>182</v>
      </c>
      <c r="F27" s="95" t="s">
        <v>124</v>
      </c>
      <c r="G27" s="95" t="s">
        <v>53</v>
      </c>
      <c r="H27" s="95">
        <v>251103</v>
      </c>
      <c r="I27" s="95" t="s">
        <v>125</v>
      </c>
      <c r="J27" s="95">
        <v>1</v>
      </c>
      <c r="K27" s="95" t="s">
        <v>604</v>
      </c>
      <c r="L27" s="95" t="s">
        <v>284</v>
      </c>
      <c r="M27" s="95" t="s">
        <v>603</v>
      </c>
      <c r="N27" s="195" t="s">
        <v>606</v>
      </c>
      <c r="O27" s="95"/>
      <c r="P27" s="95"/>
      <c r="Q27" s="95"/>
      <c r="R27" s="95"/>
      <c r="S27" s="95"/>
      <c r="T27" s="95"/>
      <c r="U27" s="95"/>
      <c r="V27" s="95" t="s">
        <v>42</v>
      </c>
      <c r="W27" s="95"/>
      <c r="X27" s="95"/>
      <c r="Y27" s="95"/>
      <c r="Z27" s="95"/>
      <c r="AA27" s="95"/>
      <c r="AB27" s="95"/>
      <c r="AC27" s="95"/>
      <c r="AD27" s="109"/>
      <c r="AE27" s="109">
        <v>251103</v>
      </c>
      <c r="AF27" s="109" t="s">
        <v>360</v>
      </c>
      <c r="AG27" s="109" t="s">
        <v>609</v>
      </c>
      <c r="AH27" s="109"/>
      <c r="AI27" s="185"/>
      <c r="AJ27" s="185"/>
      <c r="AK27" s="185"/>
      <c r="AL27" s="185"/>
    </row>
    <row r="28" spans="1:38" s="156" customFormat="1" ht="20.100000000000001" customHeight="1">
      <c r="A28" s="95" t="str">
        <f t="shared" si="3"/>
        <v>MOU003</v>
      </c>
      <c r="B28" s="85" t="s">
        <v>336</v>
      </c>
      <c r="C28" s="95">
        <v>3</v>
      </c>
      <c r="D28" s="95" t="s">
        <v>122</v>
      </c>
      <c r="E28" s="105" t="s">
        <v>123</v>
      </c>
      <c r="F28" s="95" t="s">
        <v>160</v>
      </c>
      <c r="G28" s="95" t="s">
        <v>53</v>
      </c>
      <c r="H28" s="95">
        <v>251103</v>
      </c>
      <c r="I28" s="95" t="s">
        <v>125</v>
      </c>
      <c r="J28" s="95">
        <v>1</v>
      </c>
      <c r="K28" s="95" t="s">
        <v>604</v>
      </c>
      <c r="L28" s="95" t="s">
        <v>284</v>
      </c>
      <c r="M28" s="95" t="s">
        <v>603</v>
      </c>
      <c r="N28" s="195" t="s">
        <v>607</v>
      </c>
      <c r="O28" s="95"/>
      <c r="P28" s="95"/>
      <c r="Q28" s="95"/>
      <c r="R28" s="95"/>
      <c r="S28" s="95"/>
      <c r="T28" s="95"/>
      <c r="U28" s="95"/>
      <c r="V28" s="95" t="s">
        <v>42</v>
      </c>
      <c r="W28" s="95"/>
      <c r="X28" s="95"/>
      <c r="Y28" s="95"/>
      <c r="Z28" s="95"/>
      <c r="AA28" s="95"/>
      <c r="AB28" s="95"/>
      <c r="AC28" s="95"/>
      <c r="AD28" s="109"/>
      <c r="AE28" s="109">
        <v>251103</v>
      </c>
      <c r="AF28" s="109" t="s">
        <v>360</v>
      </c>
      <c r="AG28" s="109" t="s">
        <v>637</v>
      </c>
      <c r="AH28" s="109">
        <v>251203</v>
      </c>
      <c r="AI28" s="185"/>
      <c r="AJ28" s="185"/>
      <c r="AK28" s="185"/>
      <c r="AL28" s="185"/>
    </row>
    <row r="29" spans="1:38" s="156" customFormat="1" ht="20.100000000000001" customHeight="1">
      <c r="A29" s="95" t="str">
        <f t="shared" si="3"/>
        <v>MOU004</v>
      </c>
      <c r="B29" s="85" t="s">
        <v>336</v>
      </c>
      <c r="C29" s="95">
        <v>4</v>
      </c>
      <c r="D29" s="95" t="s">
        <v>122</v>
      </c>
      <c r="E29" s="105" t="s">
        <v>355</v>
      </c>
      <c r="F29" s="95" t="s">
        <v>124</v>
      </c>
      <c r="G29" s="95" t="s">
        <v>53</v>
      </c>
      <c r="H29" s="95">
        <v>251103</v>
      </c>
      <c r="I29" s="95" t="s">
        <v>125</v>
      </c>
      <c r="J29" s="95">
        <v>1</v>
      </c>
      <c r="K29" s="95" t="s">
        <v>604</v>
      </c>
      <c r="L29" s="95" t="s">
        <v>284</v>
      </c>
      <c r="M29" s="95" t="s">
        <v>603</v>
      </c>
      <c r="N29" s="195" t="s">
        <v>608</v>
      </c>
      <c r="O29" s="95"/>
      <c r="P29" s="95"/>
      <c r="Q29" s="95"/>
      <c r="R29" s="95"/>
      <c r="S29" s="95"/>
      <c r="T29" s="95"/>
      <c r="U29" s="95"/>
      <c r="V29" s="95" t="s">
        <v>42</v>
      </c>
      <c r="W29" s="95"/>
      <c r="X29" s="95"/>
      <c r="Y29" s="95"/>
      <c r="Z29" s="95"/>
      <c r="AA29" s="95"/>
      <c r="AB29" s="95"/>
      <c r="AC29" s="95"/>
      <c r="AD29" s="109"/>
      <c r="AE29" s="109">
        <v>251103</v>
      </c>
      <c r="AF29" s="109" t="s">
        <v>360</v>
      </c>
      <c r="AG29" s="109" t="s">
        <v>609</v>
      </c>
      <c r="AH29" s="109"/>
      <c r="AI29" s="185"/>
      <c r="AJ29" s="185"/>
      <c r="AK29" s="185"/>
      <c r="AL29" s="185"/>
    </row>
    <row r="30" spans="1:38" s="156" customFormat="1" ht="20.100000000000001" customHeight="1">
      <c r="A30" s="95" t="str">
        <f t="shared" si="3"/>
        <v>MOU005</v>
      </c>
      <c r="B30" s="85" t="s">
        <v>336</v>
      </c>
      <c r="C30" s="95">
        <v>5</v>
      </c>
      <c r="D30" s="95" t="s">
        <v>122</v>
      </c>
      <c r="E30" s="95" t="s">
        <v>228</v>
      </c>
      <c r="F30" s="95" t="s">
        <v>124</v>
      </c>
      <c r="G30" s="95" t="s">
        <v>53</v>
      </c>
      <c r="H30" s="95">
        <v>251103</v>
      </c>
      <c r="I30" s="95" t="s">
        <v>125</v>
      </c>
      <c r="J30" s="95">
        <v>1</v>
      </c>
      <c r="K30" s="95" t="s">
        <v>604</v>
      </c>
      <c r="L30" s="95" t="s">
        <v>284</v>
      </c>
      <c r="M30" s="95" t="s">
        <v>610</v>
      </c>
      <c r="N30" s="195" t="s">
        <v>611</v>
      </c>
      <c r="O30" s="95"/>
      <c r="P30" s="95"/>
      <c r="Q30" s="95"/>
      <c r="R30" s="95"/>
      <c r="S30" s="95"/>
      <c r="T30" s="95"/>
      <c r="U30" s="95"/>
      <c r="V30" s="95" t="s">
        <v>42</v>
      </c>
      <c r="W30" s="95"/>
      <c r="X30" s="95"/>
      <c r="Y30" s="95"/>
      <c r="Z30" s="95"/>
      <c r="AA30" s="95"/>
      <c r="AB30" s="95"/>
      <c r="AC30" s="95"/>
      <c r="AD30" s="109"/>
      <c r="AE30" s="109">
        <v>251103</v>
      </c>
      <c r="AF30" s="109" t="s">
        <v>360</v>
      </c>
      <c r="AG30" s="109" t="s">
        <v>609</v>
      </c>
      <c r="AH30" s="109"/>
      <c r="AI30" s="185"/>
      <c r="AJ30" s="185"/>
      <c r="AK30" s="185"/>
      <c r="AL30" s="185"/>
    </row>
    <row r="31" spans="1:38" s="156" customFormat="1" ht="20.100000000000001" customHeight="1">
      <c r="A31" s="95" t="str">
        <f t="shared" si="3"/>
        <v>MOU006</v>
      </c>
      <c r="B31" s="85" t="s">
        <v>336</v>
      </c>
      <c r="C31" s="95">
        <v>6</v>
      </c>
      <c r="D31" s="95" t="s">
        <v>122</v>
      </c>
      <c r="E31" s="95" t="s">
        <v>246</v>
      </c>
      <c r="F31" s="95" t="s">
        <v>160</v>
      </c>
      <c r="G31" s="95" t="s">
        <v>53</v>
      </c>
      <c r="H31" s="95">
        <v>251103</v>
      </c>
      <c r="I31" s="95" t="s">
        <v>125</v>
      </c>
      <c r="J31" s="95">
        <v>1</v>
      </c>
      <c r="K31" s="95" t="s">
        <v>604</v>
      </c>
      <c r="L31" s="95" t="s">
        <v>284</v>
      </c>
      <c r="M31" s="95" t="s">
        <v>610</v>
      </c>
      <c r="N31" s="195" t="s">
        <v>612</v>
      </c>
      <c r="O31" s="95"/>
      <c r="P31" s="95"/>
      <c r="Q31" s="95"/>
      <c r="R31" s="95"/>
      <c r="S31" s="95"/>
      <c r="T31" s="95"/>
      <c r="U31" s="95"/>
      <c r="V31" s="95" t="s">
        <v>42</v>
      </c>
      <c r="W31" s="95"/>
      <c r="X31" s="95"/>
      <c r="Y31" s="95"/>
      <c r="Z31" s="95"/>
      <c r="AA31" s="95"/>
      <c r="AB31" s="95"/>
      <c r="AC31" s="95"/>
      <c r="AD31" s="109"/>
      <c r="AE31" s="109">
        <v>251103</v>
      </c>
      <c r="AF31" s="109" t="s">
        <v>360</v>
      </c>
      <c r="AG31" s="109" t="s">
        <v>609</v>
      </c>
      <c r="AH31" s="109"/>
      <c r="AI31" s="185"/>
      <c r="AJ31" s="185"/>
      <c r="AK31" s="185"/>
      <c r="AL31" s="185"/>
    </row>
    <row r="32" spans="1:38" s="109" customFormat="1" ht="20.100000000000001" customHeight="1">
      <c r="A32" s="84" t="str">
        <f t="shared" ref="A32:A38" si="4">"PM"&amp;TEXT(ROW(A1),"000")</f>
        <v>PM001</v>
      </c>
      <c r="B32" s="86" t="s">
        <v>459</v>
      </c>
      <c r="C32" s="86">
        <v>1</v>
      </c>
      <c r="D32" s="86" t="s">
        <v>122</v>
      </c>
      <c r="E32" s="86" t="s">
        <v>176</v>
      </c>
      <c r="F32" s="86" t="s">
        <v>160</v>
      </c>
      <c r="G32" s="86" t="s">
        <v>53</v>
      </c>
      <c r="H32" s="86">
        <v>250129</v>
      </c>
      <c r="I32" s="86" t="s">
        <v>125</v>
      </c>
      <c r="J32" s="86">
        <v>1</v>
      </c>
      <c r="K32" s="86" t="s">
        <v>37</v>
      </c>
      <c r="L32" s="86" t="s">
        <v>460</v>
      </c>
      <c r="M32" s="86" t="s">
        <v>461</v>
      </c>
      <c r="N32" s="86" t="s">
        <v>462</v>
      </c>
      <c r="O32" s="86" t="s">
        <v>232</v>
      </c>
      <c r="P32" s="92"/>
      <c r="Q32" s="86"/>
      <c r="R32" s="86"/>
      <c r="S32" s="86"/>
      <c r="T32" s="86"/>
      <c r="U32" s="86"/>
      <c r="V32" s="86" t="s">
        <v>42</v>
      </c>
      <c r="W32" s="107">
        <v>0</v>
      </c>
      <c r="X32" s="108">
        <f>W32/58</f>
        <v>0</v>
      </c>
      <c r="Y32" s="88"/>
      <c r="Z32" s="93"/>
      <c r="AA32" s="86"/>
      <c r="AB32" s="94"/>
      <c r="AC32" s="86"/>
      <c r="AD32" s="86"/>
      <c r="AE32" s="86">
        <v>250129</v>
      </c>
      <c r="AF32" s="86" t="s">
        <v>360</v>
      </c>
      <c r="AG32" s="86" t="s">
        <v>609</v>
      </c>
      <c r="AH32" s="86"/>
      <c r="AI32" s="184"/>
      <c r="AJ32" s="184"/>
      <c r="AK32" s="184"/>
      <c r="AL32" s="184"/>
    </row>
    <row r="33" spans="1:38" s="156" customFormat="1" ht="20.100000000000001" customHeight="1">
      <c r="A33" s="84" t="str">
        <f t="shared" si="4"/>
        <v>PM002</v>
      </c>
      <c r="B33" s="95" t="s">
        <v>459</v>
      </c>
      <c r="C33" s="95">
        <v>2</v>
      </c>
      <c r="D33" s="95" t="s">
        <v>122</v>
      </c>
      <c r="E33" s="96" t="s">
        <v>182</v>
      </c>
      <c r="F33" s="95" t="s">
        <v>124</v>
      </c>
      <c r="G33" s="86" t="s">
        <v>53</v>
      </c>
      <c r="H33" s="95">
        <v>250819</v>
      </c>
      <c r="I33" s="95" t="s">
        <v>125</v>
      </c>
      <c r="J33" s="95">
        <v>1</v>
      </c>
      <c r="K33" s="95" t="s">
        <v>37</v>
      </c>
      <c r="L33" s="95" t="s">
        <v>460</v>
      </c>
      <c r="M33" s="95" t="s">
        <v>461</v>
      </c>
      <c r="N33" s="97" t="s">
        <v>506</v>
      </c>
      <c r="O33" s="95" t="s">
        <v>232</v>
      </c>
      <c r="P33" s="95"/>
      <c r="Q33" s="95"/>
      <c r="R33" s="95"/>
      <c r="S33" s="95"/>
      <c r="T33" s="95"/>
      <c r="U33" s="95"/>
      <c r="V33" s="95" t="s">
        <v>42</v>
      </c>
      <c r="W33" s="100"/>
      <c r="X33" s="95"/>
      <c r="Y33" s="98"/>
      <c r="Z33" s="98"/>
      <c r="AA33" s="95"/>
      <c r="AB33" s="95"/>
      <c r="AC33" s="95"/>
      <c r="AD33" s="95"/>
      <c r="AE33" s="95">
        <v>250818</v>
      </c>
      <c r="AF33" s="95" t="s">
        <v>360</v>
      </c>
      <c r="AG33" s="86" t="s">
        <v>609</v>
      </c>
      <c r="AH33" s="95"/>
      <c r="AI33" s="185"/>
      <c r="AJ33" s="185"/>
      <c r="AK33" s="185"/>
      <c r="AL33" s="185"/>
    </row>
    <row r="34" spans="1:38" s="156" customFormat="1" ht="20.100000000000001" customHeight="1">
      <c r="A34" s="84" t="str">
        <f t="shared" si="4"/>
        <v>PM003</v>
      </c>
      <c r="B34" s="95" t="s">
        <v>459</v>
      </c>
      <c r="C34" s="95">
        <v>3</v>
      </c>
      <c r="D34" s="95" t="s">
        <v>122</v>
      </c>
      <c r="E34" s="95" t="s">
        <v>123</v>
      </c>
      <c r="F34" s="95" t="s">
        <v>160</v>
      </c>
      <c r="G34" s="86" t="s">
        <v>53</v>
      </c>
      <c r="H34" s="95">
        <v>251103</v>
      </c>
      <c r="I34" s="95" t="s">
        <v>125</v>
      </c>
      <c r="J34" s="95">
        <v>1</v>
      </c>
      <c r="K34" s="95" t="s">
        <v>37</v>
      </c>
      <c r="L34" s="95" t="s">
        <v>460</v>
      </c>
      <c r="M34" s="95" t="s">
        <v>461</v>
      </c>
      <c r="N34" s="121" t="s">
        <v>634</v>
      </c>
      <c r="O34" s="95" t="s">
        <v>232</v>
      </c>
      <c r="P34" s="95"/>
      <c r="Q34" s="95"/>
      <c r="R34" s="95"/>
      <c r="S34" s="95"/>
      <c r="T34" s="95"/>
      <c r="U34" s="95"/>
      <c r="V34" s="95" t="s">
        <v>42</v>
      </c>
      <c r="W34" s="95"/>
      <c r="X34" s="95"/>
      <c r="Y34" s="95"/>
      <c r="Z34" s="95"/>
      <c r="AA34" s="95"/>
      <c r="AB34" s="95"/>
      <c r="AC34" s="95"/>
      <c r="AD34" s="95"/>
      <c r="AE34" s="95">
        <v>251103</v>
      </c>
      <c r="AF34" s="95" t="s">
        <v>360</v>
      </c>
      <c r="AG34" s="86" t="s">
        <v>609</v>
      </c>
      <c r="AH34" s="95"/>
      <c r="AI34" s="185"/>
      <c r="AJ34" s="185"/>
      <c r="AK34" s="185"/>
      <c r="AL34" s="185"/>
    </row>
    <row r="35" spans="1:38" s="156" customFormat="1" ht="20.100000000000001" customHeight="1">
      <c r="A35" s="84" t="str">
        <f t="shared" si="4"/>
        <v>PM004</v>
      </c>
      <c r="B35" s="95" t="s">
        <v>459</v>
      </c>
      <c r="C35" s="95">
        <v>4</v>
      </c>
      <c r="D35" s="95" t="s">
        <v>122</v>
      </c>
      <c r="E35" s="95" t="s">
        <v>246</v>
      </c>
      <c r="F35" s="95" t="s">
        <v>160</v>
      </c>
      <c r="G35" s="86" t="s">
        <v>53</v>
      </c>
      <c r="H35" s="95">
        <v>251103</v>
      </c>
      <c r="I35" s="95" t="s">
        <v>125</v>
      </c>
      <c r="J35" s="95">
        <v>1</v>
      </c>
      <c r="K35" s="95" t="s">
        <v>37</v>
      </c>
      <c r="L35" s="95" t="s">
        <v>460</v>
      </c>
      <c r="M35" s="95" t="s">
        <v>461</v>
      </c>
      <c r="N35" s="95" t="s">
        <v>618</v>
      </c>
      <c r="O35" s="95" t="s">
        <v>232</v>
      </c>
      <c r="P35" s="95"/>
      <c r="Q35" s="95"/>
      <c r="R35" s="95"/>
      <c r="S35" s="95"/>
      <c r="T35" s="95"/>
      <c r="U35" s="95"/>
      <c r="V35" s="95" t="s">
        <v>42</v>
      </c>
      <c r="W35" s="95"/>
      <c r="X35" s="95"/>
      <c r="Y35" s="95"/>
      <c r="Z35" s="95"/>
      <c r="AA35" s="95"/>
      <c r="AB35" s="95"/>
      <c r="AC35" s="95"/>
      <c r="AD35" s="95"/>
      <c r="AE35" s="95">
        <v>251103</v>
      </c>
      <c r="AF35" s="95" t="s">
        <v>360</v>
      </c>
      <c r="AG35" s="86" t="s">
        <v>609</v>
      </c>
      <c r="AH35" s="95"/>
      <c r="AI35" s="185"/>
      <c r="AJ35" s="185"/>
      <c r="AK35" s="185"/>
      <c r="AL35" s="185"/>
    </row>
    <row r="36" spans="1:38" s="156" customFormat="1" ht="20.100000000000001" customHeight="1">
      <c r="A36" s="84" t="str">
        <f t="shared" si="4"/>
        <v>PM005</v>
      </c>
      <c r="B36" s="95" t="s">
        <v>459</v>
      </c>
      <c r="C36" s="95">
        <v>5</v>
      </c>
      <c r="D36" s="95" t="s">
        <v>122</v>
      </c>
      <c r="E36" s="95" t="s">
        <v>163</v>
      </c>
      <c r="F36" s="95" t="s">
        <v>124</v>
      </c>
      <c r="G36" s="86" t="s">
        <v>53</v>
      </c>
      <c r="H36" s="95">
        <v>251103</v>
      </c>
      <c r="I36" s="95" t="s">
        <v>125</v>
      </c>
      <c r="J36" s="95">
        <v>1</v>
      </c>
      <c r="K36" s="95" t="s">
        <v>37</v>
      </c>
      <c r="L36" s="95" t="s">
        <v>460</v>
      </c>
      <c r="M36" s="95" t="s">
        <v>461</v>
      </c>
      <c r="N36" s="121" t="s">
        <v>633</v>
      </c>
      <c r="O36" s="95" t="s">
        <v>232</v>
      </c>
      <c r="P36" s="95"/>
      <c r="Q36" s="95"/>
      <c r="R36" s="95"/>
      <c r="S36" s="95"/>
      <c r="T36" s="95"/>
      <c r="U36" s="95"/>
      <c r="V36" s="95" t="s">
        <v>42</v>
      </c>
      <c r="W36" s="95"/>
      <c r="X36" s="95"/>
      <c r="Y36" s="95"/>
      <c r="Z36" s="95"/>
      <c r="AA36" s="95"/>
      <c r="AB36" s="95"/>
      <c r="AC36" s="95"/>
      <c r="AD36" s="95"/>
      <c r="AE36" s="95">
        <v>251103</v>
      </c>
      <c r="AF36" s="95" t="s">
        <v>360</v>
      </c>
      <c r="AG36" s="86" t="s">
        <v>609</v>
      </c>
      <c r="AH36" s="95"/>
      <c r="AI36" s="185"/>
      <c r="AJ36" s="185"/>
      <c r="AK36" s="185"/>
      <c r="AL36" s="185"/>
    </row>
    <row r="37" spans="1:38" s="188" customFormat="1" ht="20.100000000000001" customHeight="1">
      <c r="A37" s="84" t="str">
        <f t="shared" si="4"/>
        <v>PM006</v>
      </c>
      <c r="B37" s="95" t="s">
        <v>459</v>
      </c>
      <c r="C37" s="95">
        <v>6</v>
      </c>
      <c r="D37" s="95" t="s">
        <v>122</v>
      </c>
      <c r="E37" s="95" t="s">
        <v>355</v>
      </c>
      <c r="F37" s="95" t="s">
        <v>160</v>
      </c>
      <c r="G37" s="86" t="s">
        <v>53</v>
      </c>
      <c r="H37" s="95">
        <v>251103</v>
      </c>
      <c r="I37" s="95" t="s">
        <v>125</v>
      </c>
      <c r="J37" s="95">
        <v>1</v>
      </c>
      <c r="K37" s="95" t="s">
        <v>37</v>
      </c>
      <c r="L37" s="95" t="s">
        <v>460</v>
      </c>
      <c r="M37" s="95" t="s">
        <v>461</v>
      </c>
      <c r="N37" s="121" t="s">
        <v>632</v>
      </c>
      <c r="O37" s="95" t="s">
        <v>232</v>
      </c>
      <c r="P37" s="95"/>
      <c r="Q37" s="95"/>
      <c r="R37" s="95"/>
      <c r="S37" s="95"/>
      <c r="T37" s="95"/>
      <c r="U37" s="95"/>
      <c r="V37" s="95" t="s">
        <v>42</v>
      </c>
      <c r="W37" s="95"/>
      <c r="X37" s="95"/>
      <c r="Y37" s="95"/>
      <c r="Z37" s="95"/>
      <c r="AA37" s="95"/>
      <c r="AB37" s="95"/>
      <c r="AC37" s="95"/>
      <c r="AD37" s="95"/>
      <c r="AE37" s="95">
        <v>251103</v>
      </c>
      <c r="AF37" s="95" t="s">
        <v>360</v>
      </c>
      <c r="AG37" s="86" t="s">
        <v>609</v>
      </c>
      <c r="AH37" s="95"/>
      <c r="AI37" s="187"/>
      <c r="AJ37" s="187"/>
      <c r="AK37" s="187"/>
      <c r="AL37" s="187"/>
    </row>
    <row r="38" spans="1:38" s="189" customFormat="1" ht="20.100000000000001" customHeight="1">
      <c r="A38" s="84" t="str">
        <f t="shared" si="4"/>
        <v>PM007</v>
      </c>
      <c r="B38" s="95" t="s">
        <v>459</v>
      </c>
      <c r="C38" s="95">
        <v>7</v>
      </c>
      <c r="D38" s="95" t="s">
        <v>122</v>
      </c>
      <c r="E38" s="95" t="s">
        <v>228</v>
      </c>
      <c r="F38" s="95" t="s">
        <v>160</v>
      </c>
      <c r="G38" s="86" t="s">
        <v>53</v>
      </c>
      <c r="H38" s="95">
        <v>251103</v>
      </c>
      <c r="I38" s="95" t="s">
        <v>125</v>
      </c>
      <c r="J38" s="95">
        <v>1</v>
      </c>
      <c r="K38" s="95" t="s">
        <v>37</v>
      </c>
      <c r="L38" s="95" t="s">
        <v>460</v>
      </c>
      <c r="M38" s="95" t="s">
        <v>461</v>
      </c>
      <c r="N38" s="95" t="s">
        <v>619</v>
      </c>
      <c r="O38" s="95" t="s">
        <v>232</v>
      </c>
      <c r="P38" s="95"/>
      <c r="Q38" s="95"/>
      <c r="R38" s="95"/>
      <c r="S38" s="95"/>
      <c r="T38" s="95"/>
      <c r="U38" s="95"/>
      <c r="V38" s="95" t="s">
        <v>42</v>
      </c>
      <c r="W38" s="95"/>
      <c r="X38" s="95"/>
      <c r="Y38" s="95"/>
      <c r="Z38" s="95"/>
      <c r="AA38" s="95"/>
      <c r="AB38" s="95"/>
      <c r="AC38" s="95"/>
      <c r="AD38" s="95"/>
      <c r="AE38" s="95">
        <v>251103</v>
      </c>
      <c r="AF38" s="95" t="s">
        <v>360</v>
      </c>
      <c r="AG38" s="86" t="s">
        <v>644</v>
      </c>
      <c r="AH38" s="95">
        <v>251208</v>
      </c>
      <c r="AI38" s="187"/>
      <c r="AJ38" s="187"/>
      <c r="AK38" s="187"/>
      <c r="AL38" s="187"/>
    </row>
    <row r="39" spans="1:38" s="209" customFormat="1" ht="20.100000000000001" customHeight="1">
      <c r="A39" s="121" t="str">
        <f>"T"&amp;TEXT(ROW(A1),"000")</f>
        <v>T001</v>
      </c>
      <c r="B39" s="121" t="s">
        <v>121</v>
      </c>
      <c r="C39" s="121">
        <v>1</v>
      </c>
      <c r="D39" s="121" t="s">
        <v>122</v>
      </c>
      <c r="E39" s="207" t="s">
        <v>192</v>
      </c>
      <c r="F39" s="121" t="s">
        <v>111</v>
      </c>
      <c r="G39" s="121" t="s">
        <v>53</v>
      </c>
      <c r="H39" s="121">
        <v>250819</v>
      </c>
      <c r="I39" s="121" t="s">
        <v>168</v>
      </c>
      <c r="J39" s="121">
        <v>1</v>
      </c>
      <c r="K39" s="208" t="s">
        <v>507</v>
      </c>
      <c r="L39" s="121" t="s">
        <v>460</v>
      </c>
      <c r="M39" s="208" t="s">
        <v>508</v>
      </c>
      <c r="N39" s="119" t="s">
        <v>510</v>
      </c>
      <c r="O39" s="208" t="s">
        <v>128</v>
      </c>
      <c r="P39" s="121"/>
      <c r="Q39" s="121"/>
      <c r="R39" s="121"/>
      <c r="S39" s="121"/>
      <c r="T39" s="121"/>
      <c r="U39" s="121"/>
      <c r="V39" s="121" t="s">
        <v>42</v>
      </c>
      <c r="W39" s="123"/>
      <c r="X39" s="121"/>
      <c r="Y39" s="124"/>
      <c r="Z39" s="124"/>
      <c r="AA39" s="121"/>
      <c r="AB39" s="121"/>
      <c r="AC39" s="121"/>
      <c r="AD39" s="121"/>
      <c r="AE39" s="121">
        <v>250818</v>
      </c>
      <c r="AF39" s="121" t="s">
        <v>360</v>
      </c>
      <c r="AG39" s="121"/>
      <c r="AH39" s="121"/>
      <c r="AI39" s="187"/>
      <c r="AJ39" s="187"/>
      <c r="AK39" s="187"/>
      <c r="AL39" s="187"/>
    </row>
    <row r="40" spans="1:38" s="95" customFormat="1" ht="20.100000000000001" customHeight="1">
      <c r="A40" s="121" t="str">
        <f>"T"&amp;TEXT(ROW(A2),"000")</f>
        <v>T002</v>
      </c>
      <c r="B40" s="96" t="s">
        <v>121</v>
      </c>
      <c r="C40" s="95">
        <v>2</v>
      </c>
      <c r="D40" s="95" t="s">
        <v>122</v>
      </c>
      <c r="E40" s="86" t="s">
        <v>246</v>
      </c>
      <c r="F40" s="86" t="s">
        <v>160</v>
      </c>
      <c r="G40" s="95" t="s">
        <v>53</v>
      </c>
      <c r="H40" s="95">
        <v>250819</v>
      </c>
      <c r="I40" s="95" t="s">
        <v>125</v>
      </c>
      <c r="J40" s="95">
        <v>1</v>
      </c>
      <c r="K40" s="96" t="s">
        <v>507</v>
      </c>
      <c r="L40" s="96" t="s">
        <v>460</v>
      </c>
      <c r="M40" s="96" t="s">
        <v>508</v>
      </c>
      <c r="N40" s="101" t="s">
        <v>509</v>
      </c>
      <c r="O40" s="96" t="s">
        <v>128</v>
      </c>
      <c r="P40" s="96"/>
      <c r="Q40" s="96"/>
      <c r="R40" s="96"/>
      <c r="S40" s="96"/>
      <c r="T40" s="96"/>
      <c r="U40" s="96"/>
      <c r="V40" s="95" t="s">
        <v>42</v>
      </c>
      <c r="W40" s="102"/>
      <c r="X40" s="96"/>
      <c r="Y40" s="103"/>
      <c r="Z40" s="98"/>
      <c r="AA40" s="96"/>
      <c r="AB40" s="104"/>
      <c r="AE40" s="95">
        <v>250818</v>
      </c>
      <c r="AF40" s="95" t="s">
        <v>360</v>
      </c>
      <c r="AI40" s="48"/>
      <c r="AJ40" s="48"/>
      <c r="AK40" s="48"/>
      <c r="AL40" s="48"/>
    </row>
    <row r="41" spans="1:38" s="189" customFormat="1" ht="20.100000000000001" customHeight="1">
      <c r="A41" s="121" t="str">
        <f>"T"&amp;TEXT(ROW(A3),"000")</f>
        <v>T003</v>
      </c>
      <c r="B41" s="85" t="s">
        <v>121</v>
      </c>
      <c r="C41" s="86">
        <v>4</v>
      </c>
      <c r="D41" s="86" t="s">
        <v>122</v>
      </c>
      <c r="E41" s="85" t="s">
        <v>246</v>
      </c>
      <c r="F41" s="86" t="s">
        <v>160</v>
      </c>
      <c r="G41" s="85" t="s">
        <v>53</v>
      </c>
      <c r="H41" s="85"/>
      <c r="I41" s="86" t="s">
        <v>125</v>
      </c>
      <c r="J41" s="85">
        <v>1</v>
      </c>
      <c r="K41" s="85" t="s">
        <v>44</v>
      </c>
      <c r="L41" s="85" t="s">
        <v>31</v>
      </c>
      <c r="M41" s="85" t="s">
        <v>312</v>
      </c>
      <c r="N41" s="87" t="s">
        <v>313</v>
      </c>
      <c r="O41" s="85" t="s">
        <v>314</v>
      </c>
      <c r="P41" s="85"/>
      <c r="Q41" s="85"/>
      <c r="R41" s="85"/>
      <c r="S41" s="85"/>
      <c r="T41" s="85"/>
      <c r="U41" s="86"/>
      <c r="V41" s="85" t="s">
        <v>42</v>
      </c>
      <c r="W41" s="106">
        <v>9324</v>
      </c>
      <c r="X41" s="89">
        <f t="shared" ref="X41:X49" si="5">W41/58</f>
        <v>160.75862068965517</v>
      </c>
      <c r="Y41" s="88"/>
      <c r="Z41" s="89"/>
      <c r="AA41" s="86"/>
      <c r="AB41" s="90">
        <f t="shared" ref="AB41:AB49" si="6">Y41</f>
        <v>0</v>
      </c>
      <c r="AC41" s="86"/>
      <c r="AD41" s="86"/>
      <c r="AE41" s="86">
        <v>210425</v>
      </c>
      <c r="AF41" s="86" t="s">
        <v>35</v>
      </c>
      <c r="AG41" s="86"/>
      <c r="AH41" s="86"/>
      <c r="AI41" s="187"/>
      <c r="AJ41" s="187"/>
      <c r="AK41" s="187"/>
      <c r="AL41" s="187"/>
    </row>
    <row r="42" spans="1:38" s="189" customFormat="1" ht="20.100000000000001" customHeight="1">
      <c r="A42" s="121" t="str">
        <f>"T"&amp;TEXT(ROW(A4),"000")</f>
        <v>T004</v>
      </c>
      <c r="B42" s="85" t="s">
        <v>121</v>
      </c>
      <c r="C42" s="86">
        <v>5</v>
      </c>
      <c r="D42" s="86" t="s">
        <v>122</v>
      </c>
      <c r="E42" s="86" t="s">
        <v>309</v>
      </c>
      <c r="F42" s="86" t="s">
        <v>160</v>
      </c>
      <c r="G42" s="85" t="s">
        <v>53</v>
      </c>
      <c r="H42" s="85"/>
      <c r="I42" s="86" t="s">
        <v>125</v>
      </c>
      <c r="J42" s="86">
        <v>1</v>
      </c>
      <c r="K42" s="85" t="s">
        <v>44</v>
      </c>
      <c r="L42" s="85" t="s">
        <v>31</v>
      </c>
      <c r="M42" s="85" t="s">
        <v>138</v>
      </c>
      <c r="N42" s="87" t="s">
        <v>310</v>
      </c>
      <c r="O42" s="85" t="s">
        <v>128</v>
      </c>
      <c r="P42" s="85"/>
      <c r="Q42" s="85"/>
      <c r="R42" s="85" t="s">
        <v>311</v>
      </c>
      <c r="S42" s="85" t="s">
        <v>141</v>
      </c>
      <c r="T42" s="85"/>
      <c r="U42" s="85" t="s">
        <v>131</v>
      </c>
      <c r="V42" s="85" t="s">
        <v>42</v>
      </c>
      <c r="W42" s="106">
        <v>15895</v>
      </c>
      <c r="X42" s="89">
        <f t="shared" si="5"/>
        <v>274.05172413793105</v>
      </c>
      <c r="Y42" s="88"/>
      <c r="Z42" s="89"/>
      <c r="AA42" s="85"/>
      <c r="AB42" s="90">
        <f t="shared" si="6"/>
        <v>0</v>
      </c>
      <c r="AC42" s="86"/>
      <c r="AD42" s="86"/>
      <c r="AE42" s="86">
        <v>191113</v>
      </c>
      <c r="AF42" s="86" t="s">
        <v>35</v>
      </c>
      <c r="AG42" s="86"/>
      <c r="AH42" s="86"/>
      <c r="AI42" s="187"/>
      <c r="AJ42" s="187"/>
      <c r="AK42" s="187"/>
      <c r="AL42" s="187"/>
    </row>
    <row r="43" spans="1:38" s="95" customFormat="1" ht="20.100000000000001" customHeight="1">
      <c r="A43" s="121" t="str">
        <f>"T"&amp;TEXT(ROW(A5),"000")</f>
        <v>T005</v>
      </c>
      <c r="B43" s="85" t="s">
        <v>121</v>
      </c>
      <c r="C43" s="86">
        <v>6</v>
      </c>
      <c r="D43" s="86" t="s">
        <v>122</v>
      </c>
      <c r="E43" s="86" t="s">
        <v>123</v>
      </c>
      <c r="F43" s="85" t="s">
        <v>124</v>
      </c>
      <c r="G43" s="85" t="s">
        <v>53</v>
      </c>
      <c r="H43" s="86">
        <v>241003</v>
      </c>
      <c r="I43" s="86" t="s">
        <v>125</v>
      </c>
      <c r="J43" s="85">
        <v>1</v>
      </c>
      <c r="K43" s="85" t="s">
        <v>44</v>
      </c>
      <c r="L43" s="85" t="s">
        <v>31</v>
      </c>
      <c r="M43" s="85" t="s">
        <v>126</v>
      </c>
      <c r="N43" s="87" t="s">
        <v>127</v>
      </c>
      <c r="O43" s="85" t="s">
        <v>128</v>
      </c>
      <c r="P43" s="85"/>
      <c r="Q43" s="85"/>
      <c r="R43" s="85" t="s">
        <v>129</v>
      </c>
      <c r="S43" s="85" t="s">
        <v>130</v>
      </c>
      <c r="T43" s="85"/>
      <c r="U43" s="85" t="s">
        <v>131</v>
      </c>
      <c r="V43" s="85" t="s">
        <v>42</v>
      </c>
      <c r="W43" s="106">
        <v>13695</v>
      </c>
      <c r="X43" s="89">
        <f t="shared" si="5"/>
        <v>236.12068965517241</v>
      </c>
      <c r="Y43" s="88"/>
      <c r="Z43" s="89"/>
      <c r="AA43" s="86"/>
      <c r="AB43" s="90">
        <f t="shared" si="6"/>
        <v>0</v>
      </c>
      <c r="AC43" s="86"/>
      <c r="AD43" s="86"/>
      <c r="AE43" s="86">
        <v>230131</v>
      </c>
      <c r="AF43" s="86" t="s">
        <v>35</v>
      </c>
      <c r="AG43" s="86"/>
      <c r="AH43" s="86"/>
      <c r="AI43" s="48"/>
      <c r="AJ43" s="48"/>
      <c r="AK43" s="48"/>
      <c r="AL43" s="48"/>
    </row>
    <row r="44" spans="1:38" s="95" customFormat="1" ht="20.100000000000001" customHeight="1">
      <c r="A44" s="84" t="str">
        <f>"WD"&amp;TEXT(ROW(A1),"000")</f>
        <v>WD001</v>
      </c>
      <c r="B44" s="86" t="s">
        <v>321</v>
      </c>
      <c r="C44" s="86">
        <v>3</v>
      </c>
      <c r="D44" s="86" t="s">
        <v>122</v>
      </c>
      <c r="E44" s="86" t="s">
        <v>182</v>
      </c>
      <c r="F44" s="86" t="s">
        <v>177</v>
      </c>
      <c r="G44" s="86" t="s">
        <v>53</v>
      </c>
      <c r="H44" s="86"/>
      <c r="I44" s="86" t="s">
        <v>125</v>
      </c>
      <c r="J44" s="86">
        <v>1</v>
      </c>
      <c r="K44" s="86" t="s">
        <v>322</v>
      </c>
      <c r="L44" s="86" t="s">
        <v>31</v>
      </c>
      <c r="M44" s="86" t="s">
        <v>323</v>
      </c>
      <c r="N44" s="84" t="s">
        <v>324</v>
      </c>
      <c r="O44" s="86"/>
      <c r="P44" s="86"/>
      <c r="Q44" s="86"/>
      <c r="R44" s="86"/>
      <c r="S44" s="86"/>
      <c r="T44" s="86"/>
      <c r="U44" s="86"/>
      <c r="V44" s="86" t="s">
        <v>42</v>
      </c>
      <c r="W44" s="91">
        <v>350</v>
      </c>
      <c r="X44" s="89">
        <f t="shared" si="5"/>
        <v>6.0344827586206895</v>
      </c>
      <c r="Y44" s="91"/>
      <c r="Z44" s="89"/>
      <c r="AA44" s="86"/>
      <c r="AB44" s="90">
        <f t="shared" si="6"/>
        <v>0</v>
      </c>
      <c r="AC44" s="86"/>
      <c r="AD44" s="86"/>
      <c r="AE44" s="86">
        <v>230328</v>
      </c>
      <c r="AF44" s="86" t="s">
        <v>35</v>
      </c>
      <c r="AG44" s="86"/>
      <c r="AH44" s="86"/>
      <c r="AI44" s="48"/>
      <c r="AJ44" s="48"/>
      <c r="AK44" s="48"/>
      <c r="AL44" s="48"/>
    </row>
    <row r="45" spans="1:38" s="156" customFormat="1" ht="20.100000000000001" customHeight="1">
      <c r="A45" s="84" t="str">
        <f>"WD"&amp;TEXT(ROW(A2),"000")</f>
        <v>WD002</v>
      </c>
      <c r="B45" s="86" t="s">
        <v>321</v>
      </c>
      <c r="C45" s="86">
        <v>5</v>
      </c>
      <c r="D45" s="86" t="s">
        <v>122</v>
      </c>
      <c r="E45" s="86" t="s">
        <v>355</v>
      </c>
      <c r="F45" s="86" t="s">
        <v>124</v>
      </c>
      <c r="G45" s="86" t="s">
        <v>53</v>
      </c>
      <c r="H45" s="86"/>
      <c r="I45" s="86" t="s">
        <v>125</v>
      </c>
      <c r="J45" s="86">
        <v>1</v>
      </c>
      <c r="K45" s="86" t="s">
        <v>322</v>
      </c>
      <c r="L45" s="86" t="s">
        <v>31</v>
      </c>
      <c r="M45" s="86" t="s">
        <v>323</v>
      </c>
      <c r="N45" s="84" t="s">
        <v>324</v>
      </c>
      <c r="O45" s="86"/>
      <c r="P45" s="86"/>
      <c r="Q45" s="86"/>
      <c r="R45" s="86"/>
      <c r="S45" s="86"/>
      <c r="T45" s="86"/>
      <c r="U45" s="86"/>
      <c r="V45" s="86" t="s">
        <v>42</v>
      </c>
      <c r="W45" s="91">
        <v>400</v>
      </c>
      <c r="X45" s="89">
        <f t="shared" si="5"/>
        <v>6.8965517241379306</v>
      </c>
      <c r="Y45" s="88"/>
      <c r="Z45" s="89"/>
      <c r="AA45" s="86"/>
      <c r="AB45" s="90">
        <f t="shared" si="6"/>
        <v>0</v>
      </c>
      <c r="AC45" s="86"/>
      <c r="AD45" s="86"/>
      <c r="AE45" s="86">
        <v>230328</v>
      </c>
      <c r="AF45" s="86" t="s">
        <v>35</v>
      </c>
      <c r="AG45" s="86"/>
      <c r="AH45" s="86"/>
      <c r="AI45" s="185"/>
      <c r="AJ45" s="185"/>
      <c r="AK45" s="185"/>
      <c r="AL45" s="185"/>
    </row>
    <row r="46" spans="1:38" s="156" customFormat="1" ht="20.100000000000001" customHeight="1">
      <c r="A46" s="154" t="str">
        <f>"EHD"&amp;TEXT(ROW(A43),"000")</f>
        <v>EHD043</v>
      </c>
      <c r="B46" s="125" t="s">
        <v>315</v>
      </c>
      <c r="C46" s="125">
        <v>3</v>
      </c>
      <c r="D46" s="125" t="s">
        <v>132</v>
      </c>
      <c r="E46" s="125" t="s">
        <v>348</v>
      </c>
      <c r="F46" s="125" t="s">
        <v>137</v>
      </c>
      <c r="G46" s="125" t="s">
        <v>53</v>
      </c>
      <c r="H46" s="125"/>
      <c r="I46" s="125" t="s">
        <v>125</v>
      </c>
      <c r="J46" s="125">
        <v>1</v>
      </c>
      <c r="K46" s="125"/>
      <c r="L46" s="125" t="s">
        <v>31</v>
      </c>
      <c r="M46" s="125"/>
      <c r="N46" s="126"/>
      <c r="O46" s="125"/>
      <c r="P46" s="125"/>
      <c r="Q46" s="125"/>
      <c r="R46" s="125"/>
      <c r="S46" s="125"/>
      <c r="T46" s="125"/>
      <c r="U46" s="125"/>
      <c r="V46" s="125" t="s">
        <v>42</v>
      </c>
      <c r="W46" s="131">
        <v>1758</v>
      </c>
      <c r="X46" s="132">
        <f t="shared" si="5"/>
        <v>30.310344827586206</v>
      </c>
      <c r="Y46" s="127"/>
      <c r="Z46" s="128"/>
      <c r="AA46" s="125"/>
      <c r="AB46" s="130">
        <f t="shared" si="6"/>
        <v>0</v>
      </c>
      <c r="AC46" s="125"/>
      <c r="AD46" s="125"/>
      <c r="AE46" s="125" t="s">
        <v>43</v>
      </c>
      <c r="AF46" s="125" t="s">
        <v>35</v>
      </c>
      <c r="AG46" s="125"/>
      <c r="AH46" s="125"/>
      <c r="AI46" s="185"/>
      <c r="AJ46" s="185"/>
      <c r="AK46" s="185"/>
      <c r="AL46" s="185"/>
    </row>
    <row r="47" spans="1:38" s="218" customFormat="1" ht="20.100000000000001" customHeight="1">
      <c r="A47" s="154" t="str">
        <f>"BS"&amp;TEXT(ROW(A43),"000")</f>
        <v>BS043</v>
      </c>
      <c r="B47" s="125" t="s">
        <v>325</v>
      </c>
      <c r="C47" s="125">
        <v>3</v>
      </c>
      <c r="D47" s="125" t="s">
        <v>132</v>
      </c>
      <c r="E47" s="125" t="s">
        <v>187</v>
      </c>
      <c r="F47" s="125" t="s">
        <v>137</v>
      </c>
      <c r="G47" s="125" t="s">
        <v>53</v>
      </c>
      <c r="H47" s="125"/>
      <c r="I47" s="125" t="s">
        <v>168</v>
      </c>
      <c r="J47" s="125">
        <v>1</v>
      </c>
      <c r="K47" s="125" t="s">
        <v>326</v>
      </c>
      <c r="L47" s="125" t="s">
        <v>31</v>
      </c>
      <c r="M47" s="125" t="s">
        <v>327</v>
      </c>
      <c r="N47" s="126" t="s">
        <v>356</v>
      </c>
      <c r="O47" s="125"/>
      <c r="P47" s="125"/>
      <c r="Q47" s="125"/>
      <c r="R47" s="125"/>
      <c r="S47" s="125"/>
      <c r="T47" s="125"/>
      <c r="U47" s="125"/>
      <c r="V47" s="125" t="s">
        <v>42</v>
      </c>
      <c r="W47" s="131">
        <v>1745</v>
      </c>
      <c r="X47" s="132">
        <f t="shared" si="5"/>
        <v>30.086206896551722</v>
      </c>
      <c r="Y47" s="127"/>
      <c r="Z47" s="128"/>
      <c r="AA47" s="125"/>
      <c r="AB47" s="130">
        <f t="shared" si="6"/>
        <v>0</v>
      </c>
      <c r="AC47" s="125"/>
      <c r="AD47" s="125"/>
      <c r="AE47" s="125">
        <v>231113</v>
      </c>
      <c r="AF47" s="125" t="s">
        <v>35</v>
      </c>
      <c r="AG47" s="125"/>
      <c r="AH47" s="125"/>
    </row>
    <row r="48" spans="1:38" s="186" customFormat="1" ht="20.100000000000001" customHeight="1">
      <c r="A48" s="126" t="str">
        <f>"CR"&amp;TEXT(ROW(A112),"000")</f>
        <v>CR112</v>
      </c>
      <c r="B48" s="125" t="s">
        <v>374</v>
      </c>
      <c r="C48" s="125">
        <v>3</v>
      </c>
      <c r="D48" s="125" t="s">
        <v>132</v>
      </c>
      <c r="E48" s="125" t="s">
        <v>159</v>
      </c>
      <c r="F48" s="125" t="s">
        <v>133</v>
      </c>
      <c r="G48" s="125" t="s">
        <v>53</v>
      </c>
      <c r="H48" s="125">
        <v>241104</v>
      </c>
      <c r="I48" s="125" t="s">
        <v>125</v>
      </c>
      <c r="J48" s="125">
        <v>1</v>
      </c>
      <c r="K48" s="125"/>
      <c r="L48" s="125" t="s">
        <v>31</v>
      </c>
      <c r="M48" s="145" t="s">
        <v>375</v>
      </c>
      <c r="N48" s="126"/>
      <c r="O48" s="125"/>
      <c r="P48" s="125"/>
      <c r="Q48" s="125"/>
      <c r="R48" s="125"/>
      <c r="S48" s="125"/>
      <c r="T48" s="125"/>
      <c r="U48" s="125"/>
      <c r="V48" s="125" t="s">
        <v>42</v>
      </c>
      <c r="W48" s="131">
        <v>450</v>
      </c>
      <c r="X48" s="132">
        <f t="shared" si="5"/>
        <v>7.7586206896551726</v>
      </c>
      <c r="Y48" s="127"/>
      <c r="Z48" s="128"/>
      <c r="AA48" s="125"/>
      <c r="AB48" s="130">
        <f t="shared" si="6"/>
        <v>0</v>
      </c>
      <c r="AC48" s="125"/>
      <c r="AD48" s="125"/>
      <c r="AE48" s="125">
        <v>241104</v>
      </c>
      <c r="AF48" s="125" t="s">
        <v>360</v>
      </c>
      <c r="AG48" s="125"/>
      <c r="AH48" s="125"/>
    </row>
    <row r="49" spans="1:38" s="156" customFormat="1" ht="20.100000000000001" customHeight="1">
      <c r="A49" s="126" t="str">
        <f>"CP"&amp;TEXT(ROW(A17),"000")</f>
        <v>CP017</v>
      </c>
      <c r="B49" s="125" t="s">
        <v>349</v>
      </c>
      <c r="C49" s="125">
        <v>2</v>
      </c>
      <c r="D49" s="125" t="s">
        <v>132</v>
      </c>
      <c r="E49" s="145" t="s">
        <v>155</v>
      </c>
      <c r="F49" s="145" t="s">
        <v>133</v>
      </c>
      <c r="G49" s="125" t="s">
        <v>700</v>
      </c>
      <c r="H49" s="125"/>
      <c r="I49" s="125" t="s">
        <v>125</v>
      </c>
      <c r="J49" s="125">
        <v>1</v>
      </c>
      <c r="K49" s="125" t="s">
        <v>350</v>
      </c>
      <c r="L49" s="125" t="s">
        <v>31</v>
      </c>
      <c r="M49" s="125" t="s">
        <v>351</v>
      </c>
      <c r="N49" s="126"/>
      <c r="O49" s="125"/>
      <c r="P49" s="125"/>
      <c r="Q49" s="125"/>
      <c r="R49" s="125"/>
      <c r="S49" s="125"/>
      <c r="T49" s="125"/>
      <c r="U49" s="125"/>
      <c r="V49" s="125" t="s">
        <v>42</v>
      </c>
      <c r="W49" s="131">
        <v>16600</v>
      </c>
      <c r="X49" s="132">
        <f t="shared" si="5"/>
        <v>286.20689655172413</v>
      </c>
      <c r="Y49" s="127"/>
      <c r="Z49" s="128"/>
      <c r="AA49" s="125"/>
      <c r="AB49" s="130">
        <f t="shared" si="6"/>
        <v>0</v>
      </c>
      <c r="AC49" s="125"/>
      <c r="AD49" s="125"/>
      <c r="AE49" s="125">
        <v>220813</v>
      </c>
      <c r="AF49" s="125" t="s">
        <v>35</v>
      </c>
      <c r="AG49" s="125"/>
      <c r="AH49" s="125"/>
      <c r="AI49" s="185"/>
      <c r="AJ49" s="185"/>
      <c r="AK49" s="185"/>
      <c r="AL49" s="185"/>
    </row>
    <row r="50" spans="1:38" s="189" customFormat="1" ht="20.100000000000001" customHeight="1">
      <c r="A50" s="141" t="str">
        <f t="shared" ref="A50:A57" si="7">"L"&amp;TEXT(ROW(A42),"000")</f>
        <v>L042</v>
      </c>
      <c r="B50" s="125" t="s">
        <v>110</v>
      </c>
      <c r="C50" s="141">
        <v>11</v>
      </c>
      <c r="D50" s="141" t="s">
        <v>132</v>
      </c>
      <c r="E50" s="141" t="s">
        <v>171</v>
      </c>
      <c r="F50" s="141" t="s">
        <v>133</v>
      </c>
      <c r="G50" s="141" t="s">
        <v>53</v>
      </c>
      <c r="H50" s="141">
        <v>251122</v>
      </c>
      <c r="I50" s="141" t="s">
        <v>125</v>
      </c>
      <c r="J50" s="141">
        <v>1</v>
      </c>
      <c r="K50" s="141" t="s">
        <v>63</v>
      </c>
      <c r="L50" s="141" t="s">
        <v>284</v>
      </c>
      <c r="M50" s="141" t="s">
        <v>627</v>
      </c>
      <c r="N50" s="141" t="s">
        <v>626</v>
      </c>
      <c r="O50" s="141" t="s">
        <v>113</v>
      </c>
      <c r="P50" s="141" t="s">
        <v>450</v>
      </c>
      <c r="Q50" s="141" t="s">
        <v>451</v>
      </c>
      <c r="R50" s="141" t="s">
        <v>283</v>
      </c>
      <c r="S50" s="141" t="s">
        <v>131</v>
      </c>
      <c r="T50" s="141" t="s">
        <v>118</v>
      </c>
      <c r="U50" s="141" t="s">
        <v>237</v>
      </c>
      <c r="V50" s="141" t="s">
        <v>42</v>
      </c>
      <c r="W50" s="141"/>
      <c r="X50" s="141"/>
      <c r="Y50" s="141"/>
      <c r="Z50" s="141"/>
      <c r="AA50" s="141"/>
      <c r="AB50" s="141"/>
      <c r="AC50" s="141"/>
      <c r="AD50" s="141"/>
      <c r="AE50" s="141">
        <v>251122</v>
      </c>
      <c r="AF50" s="141" t="s">
        <v>360</v>
      </c>
      <c r="AG50" s="141" t="s">
        <v>609</v>
      </c>
      <c r="AH50" s="141"/>
      <c r="AI50" s="187"/>
      <c r="AJ50" s="187"/>
      <c r="AK50" s="187"/>
      <c r="AL50" s="187"/>
    </row>
    <row r="51" spans="1:38" s="189" customFormat="1" ht="20.100000000000001" customHeight="1">
      <c r="A51" s="141" t="str">
        <f t="shared" si="7"/>
        <v>L043</v>
      </c>
      <c r="B51" s="149" t="s">
        <v>110</v>
      </c>
      <c r="C51" s="141">
        <v>12</v>
      </c>
      <c r="D51" s="141" t="s">
        <v>132</v>
      </c>
      <c r="E51" s="141" t="s">
        <v>640</v>
      </c>
      <c r="F51" s="141" t="s">
        <v>133</v>
      </c>
      <c r="G51" s="141" t="s">
        <v>53</v>
      </c>
      <c r="H51" s="141">
        <v>250819</v>
      </c>
      <c r="I51" s="141" t="s">
        <v>125</v>
      </c>
      <c r="J51" s="141">
        <v>1</v>
      </c>
      <c r="K51" s="141" t="s">
        <v>151</v>
      </c>
      <c r="L51" s="141" t="s">
        <v>284</v>
      </c>
      <c r="M51" s="141" t="s">
        <v>454</v>
      </c>
      <c r="N51" s="149" t="s">
        <v>493</v>
      </c>
      <c r="O51" s="149" t="s">
        <v>113</v>
      </c>
      <c r="P51" s="141" t="s">
        <v>488</v>
      </c>
      <c r="Q51" s="141" t="s">
        <v>489</v>
      </c>
      <c r="R51" s="141" t="s">
        <v>490</v>
      </c>
      <c r="S51" s="141" t="s">
        <v>131</v>
      </c>
      <c r="T51" s="141" t="s">
        <v>118</v>
      </c>
      <c r="U51" s="141" t="s">
        <v>258</v>
      </c>
      <c r="V51" s="125" t="s">
        <v>42</v>
      </c>
      <c r="W51" s="125">
        <v>36500</v>
      </c>
      <c r="X51" s="157">
        <f t="shared" ref="X51:X61" si="8">W51/58</f>
        <v>629.31034482758616</v>
      </c>
      <c r="Y51" s="141"/>
      <c r="Z51" s="141"/>
      <c r="AA51" s="141"/>
      <c r="AB51" s="141"/>
      <c r="AC51" s="141"/>
      <c r="AD51" s="141"/>
      <c r="AE51" s="141">
        <v>250818</v>
      </c>
      <c r="AF51" s="141" t="s">
        <v>360</v>
      </c>
      <c r="AG51" s="141" t="s">
        <v>641</v>
      </c>
      <c r="AH51" s="141">
        <v>251203</v>
      </c>
      <c r="AI51" s="187"/>
      <c r="AJ51" s="187"/>
      <c r="AK51" s="187"/>
      <c r="AL51" s="187"/>
    </row>
    <row r="52" spans="1:38" s="156" customFormat="1" ht="20.100000000000001" customHeight="1">
      <c r="A52" s="141" t="str">
        <f t="shared" si="7"/>
        <v>L044</v>
      </c>
      <c r="B52" s="149" t="s">
        <v>110</v>
      </c>
      <c r="C52" s="141">
        <v>13</v>
      </c>
      <c r="D52" s="141" t="s">
        <v>132</v>
      </c>
      <c r="E52" s="125" t="s">
        <v>482</v>
      </c>
      <c r="F52" s="141" t="s">
        <v>133</v>
      </c>
      <c r="G52" s="141" t="s">
        <v>53</v>
      </c>
      <c r="H52" s="141">
        <v>250819</v>
      </c>
      <c r="I52" s="141" t="s">
        <v>125</v>
      </c>
      <c r="J52" s="141">
        <v>1</v>
      </c>
      <c r="K52" s="149" t="s">
        <v>151</v>
      </c>
      <c r="L52" s="149" t="s">
        <v>284</v>
      </c>
      <c r="M52" s="141" t="s">
        <v>454</v>
      </c>
      <c r="N52" s="149" t="s">
        <v>492</v>
      </c>
      <c r="O52" s="149" t="s">
        <v>113</v>
      </c>
      <c r="P52" s="141" t="s">
        <v>488</v>
      </c>
      <c r="Q52" s="141" t="s">
        <v>489</v>
      </c>
      <c r="R52" s="141" t="s">
        <v>490</v>
      </c>
      <c r="S52" s="141" t="s">
        <v>131</v>
      </c>
      <c r="T52" s="141" t="s">
        <v>118</v>
      </c>
      <c r="U52" s="141" t="s">
        <v>258</v>
      </c>
      <c r="V52" s="125" t="s">
        <v>42</v>
      </c>
      <c r="W52" s="125">
        <v>36500</v>
      </c>
      <c r="X52" s="157">
        <f t="shared" si="8"/>
        <v>629.31034482758616</v>
      </c>
      <c r="Y52" s="151"/>
      <c r="Z52" s="141"/>
      <c r="AA52" s="149"/>
      <c r="AB52" s="153"/>
      <c r="AC52" s="141"/>
      <c r="AD52" s="141"/>
      <c r="AE52" s="141">
        <v>250818</v>
      </c>
      <c r="AF52" s="141" t="s">
        <v>360</v>
      </c>
      <c r="AG52" s="141"/>
      <c r="AH52" s="141"/>
      <c r="AI52" s="185"/>
      <c r="AJ52" s="185"/>
      <c r="AK52" s="185"/>
      <c r="AL52" s="185"/>
    </row>
    <row r="53" spans="1:38" s="156" customFormat="1" ht="20.100000000000001" customHeight="1">
      <c r="A53" s="141" t="str">
        <f t="shared" si="7"/>
        <v>L045</v>
      </c>
      <c r="B53" s="141" t="s">
        <v>110</v>
      </c>
      <c r="C53" s="141">
        <v>14</v>
      </c>
      <c r="D53" s="141" t="s">
        <v>132</v>
      </c>
      <c r="E53" s="125" t="s">
        <v>643</v>
      </c>
      <c r="F53" s="141" t="s">
        <v>133</v>
      </c>
      <c r="G53" s="141" t="s">
        <v>53</v>
      </c>
      <c r="H53" s="141">
        <v>250819</v>
      </c>
      <c r="I53" s="141" t="s">
        <v>125</v>
      </c>
      <c r="J53" s="125">
        <v>1</v>
      </c>
      <c r="K53" s="141" t="s">
        <v>151</v>
      </c>
      <c r="L53" s="141" t="s">
        <v>284</v>
      </c>
      <c r="M53" s="141" t="s">
        <v>454</v>
      </c>
      <c r="N53" s="141" t="s">
        <v>491</v>
      </c>
      <c r="O53" s="141" t="s">
        <v>113</v>
      </c>
      <c r="P53" s="141" t="s">
        <v>488</v>
      </c>
      <c r="Q53" s="141" t="s">
        <v>489</v>
      </c>
      <c r="R53" s="141" t="s">
        <v>490</v>
      </c>
      <c r="S53" s="141" t="s">
        <v>131</v>
      </c>
      <c r="T53" s="141" t="s">
        <v>118</v>
      </c>
      <c r="U53" s="141" t="s">
        <v>258</v>
      </c>
      <c r="V53" s="125" t="s">
        <v>42</v>
      </c>
      <c r="W53" s="125">
        <v>36500</v>
      </c>
      <c r="X53" s="157">
        <f t="shared" si="8"/>
        <v>629.31034482758616</v>
      </c>
      <c r="Y53" s="151"/>
      <c r="Z53" s="141"/>
      <c r="AA53" s="125"/>
      <c r="AB53" s="152"/>
      <c r="AC53" s="125"/>
      <c r="AD53" s="125"/>
      <c r="AE53" s="141">
        <v>250818</v>
      </c>
      <c r="AF53" s="125" t="s">
        <v>360</v>
      </c>
      <c r="AG53" s="141" t="s">
        <v>1126</v>
      </c>
      <c r="AH53" s="125">
        <v>251223</v>
      </c>
      <c r="AI53" s="185"/>
      <c r="AJ53" s="185"/>
      <c r="AK53" s="185"/>
      <c r="AL53" s="185"/>
    </row>
    <row r="54" spans="1:38" s="156" customFormat="1" ht="20.100000000000001" customHeight="1">
      <c r="A54" s="141" t="str">
        <f t="shared" si="7"/>
        <v>L046</v>
      </c>
      <c r="B54" s="141" t="s">
        <v>110</v>
      </c>
      <c r="C54" s="141">
        <v>15</v>
      </c>
      <c r="D54" s="141" t="s">
        <v>132</v>
      </c>
      <c r="E54" s="125" t="s">
        <v>329</v>
      </c>
      <c r="F54" s="141" t="s">
        <v>133</v>
      </c>
      <c r="G54" s="141" t="s">
        <v>53</v>
      </c>
      <c r="H54" s="141">
        <v>250819</v>
      </c>
      <c r="I54" s="141" t="s">
        <v>125</v>
      </c>
      <c r="J54" s="141">
        <v>1</v>
      </c>
      <c r="K54" s="141" t="s">
        <v>151</v>
      </c>
      <c r="L54" s="141" t="s">
        <v>460</v>
      </c>
      <c r="M54" s="141" t="s">
        <v>454</v>
      </c>
      <c r="N54" s="141" t="s">
        <v>487</v>
      </c>
      <c r="O54" s="141" t="s">
        <v>113</v>
      </c>
      <c r="P54" s="141" t="s">
        <v>488</v>
      </c>
      <c r="Q54" s="141" t="s">
        <v>489</v>
      </c>
      <c r="R54" s="141" t="s">
        <v>490</v>
      </c>
      <c r="S54" s="141" t="s">
        <v>131</v>
      </c>
      <c r="T54" s="141" t="s">
        <v>118</v>
      </c>
      <c r="U54" s="141" t="s">
        <v>258</v>
      </c>
      <c r="V54" s="141" t="s">
        <v>42</v>
      </c>
      <c r="W54" s="141">
        <v>36500</v>
      </c>
      <c r="X54" s="157">
        <f t="shared" si="8"/>
        <v>629.31034482758616</v>
      </c>
      <c r="Y54" s="151"/>
      <c r="Z54" s="141"/>
      <c r="AA54" s="141"/>
      <c r="AB54" s="141"/>
      <c r="AC54" s="141"/>
      <c r="AD54" s="141"/>
      <c r="AE54" s="141">
        <v>250818</v>
      </c>
      <c r="AF54" s="141" t="s">
        <v>360</v>
      </c>
      <c r="AG54" s="141"/>
      <c r="AH54" s="141"/>
      <c r="AI54" s="185"/>
      <c r="AJ54" s="185"/>
      <c r="AK54" s="185"/>
      <c r="AL54" s="185"/>
    </row>
    <row r="55" spans="1:38" s="156" customFormat="1" ht="20.100000000000001" customHeight="1">
      <c r="A55" s="141" t="str">
        <f t="shared" si="7"/>
        <v>L047</v>
      </c>
      <c r="B55" s="125" t="s">
        <v>110</v>
      </c>
      <c r="C55" s="125">
        <v>16</v>
      </c>
      <c r="D55" s="125" t="s">
        <v>132</v>
      </c>
      <c r="E55" s="125" t="s">
        <v>155</v>
      </c>
      <c r="F55" s="125" t="s">
        <v>133</v>
      </c>
      <c r="G55" s="125" t="s">
        <v>53</v>
      </c>
      <c r="H55" s="125">
        <v>250129</v>
      </c>
      <c r="I55" s="125" t="s">
        <v>125</v>
      </c>
      <c r="J55" s="125">
        <v>1</v>
      </c>
      <c r="K55" s="125" t="s">
        <v>151</v>
      </c>
      <c r="L55" s="134" t="s">
        <v>284</v>
      </c>
      <c r="M55" s="134" t="s">
        <v>454</v>
      </c>
      <c r="N55" s="134" t="s">
        <v>455</v>
      </c>
      <c r="O55" s="134" t="s">
        <v>113</v>
      </c>
      <c r="P55" s="134" t="s">
        <v>456</v>
      </c>
      <c r="Q55" s="125" t="s">
        <v>457</v>
      </c>
      <c r="R55" s="125" t="s">
        <v>283</v>
      </c>
      <c r="S55" s="125" t="s">
        <v>131</v>
      </c>
      <c r="T55" s="125" t="s">
        <v>118</v>
      </c>
      <c r="U55" s="125" t="s">
        <v>452</v>
      </c>
      <c r="V55" s="125" t="s">
        <v>42</v>
      </c>
      <c r="W55" s="158">
        <v>0</v>
      </c>
      <c r="X55" s="159">
        <f t="shared" si="8"/>
        <v>0</v>
      </c>
      <c r="Y55" s="129"/>
      <c r="Z55" s="138"/>
      <c r="AA55" s="125"/>
      <c r="AB55" s="139"/>
      <c r="AC55" s="125"/>
      <c r="AD55" s="125"/>
      <c r="AE55" s="125">
        <v>250129</v>
      </c>
      <c r="AF55" s="125" t="s">
        <v>360</v>
      </c>
      <c r="AG55" s="125" t="s">
        <v>458</v>
      </c>
      <c r="AH55" s="125">
        <v>250827</v>
      </c>
      <c r="AI55" s="185"/>
      <c r="AJ55" s="185"/>
      <c r="AK55" s="185"/>
      <c r="AL55" s="185"/>
    </row>
    <row r="56" spans="1:38" s="109" customFormat="1" ht="20.100000000000001" customHeight="1">
      <c r="A56" s="141" t="str">
        <f t="shared" si="7"/>
        <v>L048</v>
      </c>
      <c r="B56" s="125" t="s">
        <v>110</v>
      </c>
      <c r="C56" s="125">
        <v>17</v>
      </c>
      <c r="D56" s="125" t="s">
        <v>132</v>
      </c>
      <c r="E56" s="125" t="s">
        <v>159</v>
      </c>
      <c r="F56" s="125" t="s">
        <v>133</v>
      </c>
      <c r="G56" s="125" t="s">
        <v>53</v>
      </c>
      <c r="H56" s="125"/>
      <c r="I56" s="125" t="s">
        <v>125</v>
      </c>
      <c r="J56" s="125">
        <v>1</v>
      </c>
      <c r="K56" s="125" t="s">
        <v>37</v>
      </c>
      <c r="L56" s="125" t="s">
        <v>284</v>
      </c>
      <c r="M56" s="125" t="s">
        <v>285</v>
      </c>
      <c r="N56" s="126" t="s">
        <v>287</v>
      </c>
      <c r="O56" s="125" t="s">
        <v>254</v>
      </c>
      <c r="P56" s="125" t="s">
        <v>266</v>
      </c>
      <c r="Q56" s="125" t="s">
        <v>256</v>
      </c>
      <c r="R56" s="125" t="s">
        <v>283</v>
      </c>
      <c r="S56" s="125" t="s">
        <v>131</v>
      </c>
      <c r="T56" s="125" t="s">
        <v>118</v>
      </c>
      <c r="U56" s="125" t="s">
        <v>237</v>
      </c>
      <c r="V56" s="125" t="s">
        <v>42</v>
      </c>
      <c r="W56" s="127">
        <v>23142</v>
      </c>
      <c r="X56" s="128">
        <f t="shared" si="8"/>
        <v>399</v>
      </c>
      <c r="Y56" s="129"/>
      <c r="Z56" s="128"/>
      <c r="AA56" s="125"/>
      <c r="AB56" s="127">
        <f t="shared" ref="AB56:AB61" si="9">Y56</f>
        <v>0</v>
      </c>
      <c r="AC56" s="125"/>
      <c r="AD56" s="125"/>
      <c r="AE56" s="125">
        <v>240625</v>
      </c>
      <c r="AF56" s="125" t="s">
        <v>35</v>
      </c>
      <c r="AG56" s="125"/>
      <c r="AH56" s="125"/>
      <c r="AI56" s="184"/>
      <c r="AJ56" s="184"/>
      <c r="AK56" s="184"/>
      <c r="AL56" s="184"/>
    </row>
    <row r="57" spans="1:38" s="109" customFormat="1" ht="20.100000000000001" customHeight="1">
      <c r="A57" s="141" t="str">
        <f t="shared" si="7"/>
        <v>L049</v>
      </c>
      <c r="B57" s="125" t="s">
        <v>110</v>
      </c>
      <c r="C57" s="125">
        <v>18</v>
      </c>
      <c r="D57" s="125" t="s">
        <v>132</v>
      </c>
      <c r="E57" s="125" t="s">
        <v>136</v>
      </c>
      <c r="F57" s="125" t="s">
        <v>133</v>
      </c>
      <c r="G57" s="125" t="s">
        <v>53</v>
      </c>
      <c r="H57" s="125"/>
      <c r="I57" s="125" t="s">
        <v>125</v>
      </c>
      <c r="J57" s="125">
        <v>1</v>
      </c>
      <c r="K57" s="125" t="s">
        <v>37</v>
      </c>
      <c r="L57" s="125" t="s">
        <v>284</v>
      </c>
      <c r="M57" s="125" t="s">
        <v>285</v>
      </c>
      <c r="N57" s="126" t="s">
        <v>286</v>
      </c>
      <c r="O57" s="125" t="s">
        <v>254</v>
      </c>
      <c r="P57" s="125" t="s">
        <v>266</v>
      </c>
      <c r="Q57" s="125" t="s">
        <v>256</v>
      </c>
      <c r="R57" s="125" t="s">
        <v>283</v>
      </c>
      <c r="S57" s="125" t="s">
        <v>131</v>
      </c>
      <c r="T57" s="125" t="s">
        <v>118</v>
      </c>
      <c r="U57" s="125" t="s">
        <v>237</v>
      </c>
      <c r="V57" s="125" t="s">
        <v>42</v>
      </c>
      <c r="W57" s="127">
        <v>23142</v>
      </c>
      <c r="X57" s="128">
        <f t="shared" si="8"/>
        <v>399</v>
      </c>
      <c r="Y57" s="129"/>
      <c r="Z57" s="128"/>
      <c r="AA57" s="125"/>
      <c r="AB57" s="127">
        <f t="shared" si="9"/>
        <v>0</v>
      </c>
      <c r="AC57" s="125"/>
      <c r="AD57" s="125"/>
      <c r="AE57" s="125">
        <v>240625</v>
      </c>
      <c r="AF57" s="125" t="s">
        <v>35</v>
      </c>
      <c r="AG57" s="125"/>
      <c r="AH57" s="125"/>
      <c r="AI57" s="184"/>
      <c r="AJ57" s="184"/>
      <c r="AK57" s="184"/>
      <c r="AL57" s="184"/>
    </row>
    <row r="58" spans="1:38" s="185" customFormat="1" ht="20.100000000000001" customHeight="1">
      <c r="A58" s="194" t="str">
        <f t="shared" ref="A58:A63" si="10">"M"&amp;TEXT(ROW(A40),"000")</f>
        <v>M040</v>
      </c>
      <c r="B58" s="125" t="s">
        <v>36</v>
      </c>
      <c r="C58" s="125">
        <v>8</v>
      </c>
      <c r="D58" s="125" t="s">
        <v>132</v>
      </c>
      <c r="E58" s="125" t="s">
        <v>187</v>
      </c>
      <c r="F58" s="125" t="s">
        <v>137</v>
      </c>
      <c r="G58" s="125" t="s">
        <v>53</v>
      </c>
      <c r="H58" s="125">
        <v>241004</v>
      </c>
      <c r="I58" s="125" t="s">
        <v>168</v>
      </c>
      <c r="J58" s="125">
        <v>1</v>
      </c>
      <c r="K58" s="125" t="s">
        <v>151</v>
      </c>
      <c r="L58" s="125" t="s">
        <v>31</v>
      </c>
      <c r="M58" s="125" t="s">
        <v>152</v>
      </c>
      <c r="N58" s="126" t="s">
        <v>1124</v>
      </c>
      <c r="O58" s="125" t="s">
        <v>153</v>
      </c>
      <c r="P58" s="125"/>
      <c r="Q58" s="125" t="s">
        <v>154</v>
      </c>
      <c r="R58" s="125"/>
      <c r="S58" s="125"/>
      <c r="T58" s="125"/>
      <c r="U58" s="125"/>
      <c r="V58" s="125" t="s">
        <v>42</v>
      </c>
      <c r="W58" s="127">
        <v>17985</v>
      </c>
      <c r="X58" s="128">
        <f t="shared" si="8"/>
        <v>310.08620689655174</v>
      </c>
      <c r="Y58" s="129"/>
      <c r="Z58" s="128"/>
      <c r="AA58" s="125"/>
      <c r="AB58" s="127">
        <f t="shared" si="9"/>
        <v>0</v>
      </c>
      <c r="AC58" s="125"/>
      <c r="AD58" s="125"/>
      <c r="AE58" s="125" t="s">
        <v>43</v>
      </c>
      <c r="AF58" s="125" t="s">
        <v>35</v>
      </c>
      <c r="AG58" s="125"/>
      <c r="AH58" s="125"/>
    </row>
    <row r="59" spans="1:38" s="184" customFormat="1" ht="20.100000000000001" customHeight="1">
      <c r="A59" s="194" t="str">
        <f t="shared" si="10"/>
        <v>M041</v>
      </c>
      <c r="B59" s="125" t="s">
        <v>36</v>
      </c>
      <c r="C59" s="125">
        <v>9</v>
      </c>
      <c r="D59" s="125" t="s">
        <v>132</v>
      </c>
      <c r="E59" s="125" t="s">
        <v>159</v>
      </c>
      <c r="F59" s="125" t="s">
        <v>160</v>
      </c>
      <c r="G59" s="125" t="s">
        <v>53</v>
      </c>
      <c r="H59" s="125">
        <v>241004</v>
      </c>
      <c r="I59" s="125" t="s">
        <v>125</v>
      </c>
      <c r="J59" s="125">
        <v>1</v>
      </c>
      <c r="K59" s="125" t="s">
        <v>151</v>
      </c>
      <c r="L59" s="125" t="s">
        <v>31</v>
      </c>
      <c r="M59" s="125" t="s">
        <v>156</v>
      </c>
      <c r="N59" s="126" t="s">
        <v>157</v>
      </c>
      <c r="O59" s="125" t="s">
        <v>158</v>
      </c>
      <c r="P59" s="125"/>
      <c r="Q59" s="125" t="s">
        <v>154</v>
      </c>
      <c r="R59" s="125"/>
      <c r="S59" s="125"/>
      <c r="T59" s="125"/>
      <c r="U59" s="125"/>
      <c r="V59" s="125" t="s">
        <v>42</v>
      </c>
      <c r="W59" s="127">
        <v>12180</v>
      </c>
      <c r="X59" s="128">
        <f t="shared" si="8"/>
        <v>210</v>
      </c>
      <c r="Y59" s="129"/>
      <c r="Z59" s="128"/>
      <c r="AA59" s="125"/>
      <c r="AB59" s="127">
        <f t="shared" si="9"/>
        <v>0</v>
      </c>
      <c r="AC59" s="133"/>
      <c r="AD59" s="133"/>
      <c r="AE59" s="125">
        <v>230828</v>
      </c>
      <c r="AF59" s="125" t="s">
        <v>35</v>
      </c>
      <c r="AG59" s="125" t="s">
        <v>1107</v>
      </c>
      <c r="AH59" s="125">
        <v>251206</v>
      </c>
    </row>
    <row r="60" spans="1:38" s="186" customFormat="1" ht="20.100000000000001" customHeight="1">
      <c r="A60" s="194" t="str">
        <f t="shared" si="10"/>
        <v>M042</v>
      </c>
      <c r="B60" s="125" t="s">
        <v>36</v>
      </c>
      <c r="C60" s="125">
        <v>11</v>
      </c>
      <c r="D60" s="125" t="s">
        <v>132</v>
      </c>
      <c r="E60" s="125" t="s">
        <v>187</v>
      </c>
      <c r="F60" s="145" t="s">
        <v>137</v>
      </c>
      <c r="G60" s="125" t="s">
        <v>53</v>
      </c>
      <c r="H60" s="125">
        <v>241004</v>
      </c>
      <c r="I60" s="125" t="s">
        <v>168</v>
      </c>
      <c r="J60" s="125">
        <v>1</v>
      </c>
      <c r="K60" s="125" t="s">
        <v>151</v>
      </c>
      <c r="L60" s="125" t="s">
        <v>31</v>
      </c>
      <c r="M60" s="125" t="s">
        <v>156</v>
      </c>
      <c r="N60" s="126" t="s">
        <v>169</v>
      </c>
      <c r="O60" s="125" t="s">
        <v>158</v>
      </c>
      <c r="P60" s="125"/>
      <c r="Q60" s="125" t="s">
        <v>154</v>
      </c>
      <c r="R60" s="125"/>
      <c r="S60" s="125"/>
      <c r="T60" s="125"/>
      <c r="U60" s="125"/>
      <c r="V60" s="125" t="s">
        <v>42</v>
      </c>
      <c r="W60" s="127">
        <v>12180</v>
      </c>
      <c r="X60" s="128">
        <f t="shared" si="8"/>
        <v>210</v>
      </c>
      <c r="Y60" s="129"/>
      <c r="Z60" s="128"/>
      <c r="AA60" s="125"/>
      <c r="AB60" s="127">
        <f t="shared" si="9"/>
        <v>0</v>
      </c>
      <c r="AC60" s="133"/>
      <c r="AD60" s="133"/>
      <c r="AE60" s="125">
        <v>230828</v>
      </c>
      <c r="AF60" s="125" t="s">
        <v>35</v>
      </c>
      <c r="AG60" s="125" t="s">
        <v>170</v>
      </c>
      <c r="AH60" s="125">
        <v>250827</v>
      </c>
      <c r="AI60" s="185"/>
      <c r="AJ60" s="185"/>
      <c r="AK60" s="185"/>
      <c r="AL60" s="185"/>
    </row>
    <row r="61" spans="1:38" s="311" customFormat="1" ht="20.100000000000001" customHeight="1">
      <c r="A61" s="194" t="str">
        <f t="shared" si="10"/>
        <v>M043</v>
      </c>
      <c r="B61" s="125" t="s">
        <v>36</v>
      </c>
      <c r="C61" s="125">
        <v>12</v>
      </c>
      <c r="D61" s="125" t="s">
        <v>132</v>
      </c>
      <c r="E61" s="125" t="s">
        <v>187</v>
      </c>
      <c r="F61" s="145" t="s">
        <v>137</v>
      </c>
      <c r="G61" s="125" t="s">
        <v>53</v>
      </c>
      <c r="H61" s="125">
        <v>241004</v>
      </c>
      <c r="I61" s="125" t="s">
        <v>168</v>
      </c>
      <c r="J61" s="125">
        <v>1</v>
      </c>
      <c r="K61" s="125" t="s">
        <v>37</v>
      </c>
      <c r="L61" s="125" t="s">
        <v>31</v>
      </c>
      <c r="M61" s="125" t="s">
        <v>172</v>
      </c>
      <c r="N61" s="126" t="s">
        <v>173</v>
      </c>
      <c r="O61" s="125" t="s">
        <v>153</v>
      </c>
      <c r="P61" s="125"/>
      <c r="Q61" s="125" t="s">
        <v>174</v>
      </c>
      <c r="R61" s="125"/>
      <c r="S61" s="125"/>
      <c r="T61" s="125"/>
      <c r="U61" s="125"/>
      <c r="V61" s="125" t="s">
        <v>42</v>
      </c>
      <c r="W61" s="127">
        <v>13282</v>
      </c>
      <c r="X61" s="128">
        <f t="shared" si="8"/>
        <v>229</v>
      </c>
      <c r="Y61" s="129"/>
      <c r="Z61" s="128"/>
      <c r="AA61" s="125"/>
      <c r="AB61" s="127">
        <f t="shared" si="9"/>
        <v>0</v>
      </c>
      <c r="AC61" s="125"/>
      <c r="AD61" s="125"/>
      <c r="AE61" s="125">
        <v>240117</v>
      </c>
      <c r="AF61" s="125" t="s">
        <v>35</v>
      </c>
      <c r="AG61" s="125" t="s">
        <v>175</v>
      </c>
      <c r="AH61" s="125"/>
      <c r="AI61" s="310"/>
      <c r="AJ61" s="310"/>
      <c r="AK61" s="310"/>
      <c r="AL61" s="310"/>
    </row>
    <row r="62" spans="1:38" s="311" customFormat="1" ht="20.100000000000001" customHeight="1">
      <c r="A62" s="194" t="str">
        <f t="shared" si="10"/>
        <v>M044</v>
      </c>
      <c r="B62" s="194" t="s">
        <v>36</v>
      </c>
      <c r="C62" s="194">
        <v>13</v>
      </c>
      <c r="D62" s="194" t="s">
        <v>132</v>
      </c>
      <c r="E62" s="125" t="s">
        <v>187</v>
      </c>
      <c r="F62" s="145" t="s">
        <v>137</v>
      </c>
      <c r="G62" s="194" t="s">
        <v>53</v>
      </c>
      <c r="H62" s="194">
        <v>250819</v>
      </c>
      <c r="I62" s="125" t="s">
        <v>168</v>
      </c>
      <c r="J62" s="194">
        <v>1</v>
      </c>
      <c r="K62" s="194" t="s">
        <v>44</v>
      </c>
      <c r="L62" s="194" t="s">
        <v>284</v>
      </c>
      <c r="M62" s="194" t="s">
        <v>504</v>
      </c>
      <c r="N62" s="154" t="s">
        <v>1123</v>
      </c>
      <c r="O62" s="313" t="s">
        <v>153</v>
      </c>
      <c r="P62" s="194"/>
      <c r="Q62" s="194"/>
      <c r="R62" s="194"/>
      <c r="S62" s="194"/>
      <c r="T62" s="194"/>
      <c r="U62" s="194"/>
      <c r="V62" s="194" t="s">
        <v>42</v>
      </c>
      <c r="W62" s="314"/>
      <c r="X62" s="194"/>
      <c r="Y62" s="315"/>
      <c r="Z62" s="315"/>
      <c r="AA62" s="194"/>
      <c r="AB62" s="194"/>
      <c r="AC62" s="194"/>
      <c r="AD62" s="194"/>
      <c r="AE62" s="194">
        <v>250818</v>
      </c>
      <c r="AF62" s="194" t="s">
        <v>360</v>
      </c>
      <c r="AG62" s="194" t="s">
        <v>639</v>
      </c>
      <c r="AH62" s="194">
        <v>251203</v>
      </c>
      <c r="AI62" s="310"/>
      <c r="AJ62" s="310"/>
      <c r="AK62" s="310"/>
      <c r="AL62" s="310"/>
    </row>
    <row r="63" spans="1:38" s="304" customFormat="1" ht="20.100000000000001" customHeight="1">
      <c r="A63" s="194" t="str">
        <f t="shared" si="10"/>
        <v>M045</v>
      </c>
      <c r="B63" s="194" t="s">
        <v>36</v>
      </c>
      <c r="C63" s="194">
        <v>14</v>
      </c>
      <c r="D63" s="194" t="s">
        <v>132</v>
      </c>
      <c r="E63" s="125" t="s">
        <v>187</v>
      </c>
      <c r="F63" s="194" t="s">
        <v>137</v>
      </c>
      <c r="G63" s="125" t="s">
        <v>53</v>
      </c>
      <c r="H63" s="194">
        <v>250819</v>
      </c>
      <c r="I63" s="194" t="s">
        <v>168</v>
      </c>
      <c r="J63" s="125">
        <v>1</v>
      </c>
      <c r="K63" s="125" t="s">
        <v>44</v>
      </c>
      <c r="L63" s="125" t="s">
        <v>460</v>
      </c>
      <c r="M63" s="194" t="s">
        <v>504</v>
      </c>
      <c r="N63" s="126" t="s">
        <v>1122</v>
      </c>
      <c r="O63" s="125" t="s">
        <v>153</v>
      </c>
      <c r="P63" s="125"/>
      <c r="Q63" s="125"/>
      <c r="R63" s="125"/>
      <c r="S63" s="125"/>
      <c r="T63" s="125"/>
      <c r="U63" s="125"/>
      <c r="V63" s="125" t="s">
        <v>42</v>
      </c>
      <c r="W63" s="127"/>
      <c r="X63" s="125"/>
      <c r="Y63" s="137"/>
      <c r="Z63" s="315"/>
      <c r="AA63" s="125"/>
      <c r="AB63" s="139"/>
      <c r="AC63" s="125"/>
      <c r="AD63" s="125"/>
      <c r="AE63" s="194">
        <v>250818</v>
      </c>
      <c r="AF63" s="194" t="s">
        <v>360</v>
      </c>
      <c r="AG63" s="194" t="s">
        <v>505</v>
      </c>
      <c r="AH63" s="194">
        <v>250827</v>
      </c>
    </row>
    <row r="64" spans="1:38" s="312" customFormat="1" ht="20.100000000000001" customHeight="1">
      <c r="A64" s="141" t="str">
        <f t="shared" ref="A64:A71" si="11">"MOU"&amp;TEXT(ROW(A39),"000")</f>
        <v>MOU039</v>
      </c>
      <c r="B64" s="125" t="s">
        <v>336</v>
      </c>
      <c r="C64" s="125">
        <v>8</v>
      </c>
      <c r="D64" s="125" t="s">
        <v>132</v>
      </c>
      <c r="E64" s="125" t="s">
        <v>136</v>
      </c>
      <c r="F64" s="125" t="s">
        <v>160</v>
      </c>
      <c r="G64" s="125" t="s">
        <v>53</v>
      </c>
      <c r="H64" s="125">
        <v>241104</v>
      </c>
      <c r="I64" s="125" t="s">
        <v>125</v>
      </c>
      <c r="J64" s="125">
        <v>1</v>
      </c>
      <c r="K64" s="125" t="s">
        <v>357</v>
      </c>
      <c r="L64" s="125" t="s">
        <v>31</v>
      </c>
      <c r="M64" s="125" t="s">
        <v>358</v>
      </c>
      <c r="N64" s="126" t="s">
        <v>359</v>
      </c>
      <c r="O64" s="125"/>
      <c r="P64" s="125"/>
      <c r="Q64" s="125"/>
      <c r="R64" s="125"/>
      <c r="S64" s="125"/>
      <c r="T64" s="125"/>
      <c r="U64" s="125"/>
      <c r="V64" s="125" t="s">
        <v>42</v>
      </c>
      <c r="W64" s="131">
        <v>500</v>
      </c>
      <c r="X64" s="132">
        <f>W64/58</f>
        <v>8.6206896551724146</v>
      </c>
      <c r="Y64" s="129"/>
      <c r="Z64" s="128"/>
      <c r="AA64" s="125"/>
      <c r="AB64" s="130">
        <f>Y64</f>
        <v>0</v>
      </c>
      <c r="AC64" s="125"/>
      <c r="AD64" s="125"/>
      <c r="AE64" s="125">
        <v>241104</v>
      </c>
      <c r="AF64" s="125" t="s">
        <v>360</v>
      </c>
      <c r="AG64" s="125"/>
      <c r="AH64" s="125"/>
      <c r="AI64" s="304"/>
      <c r="AJ64" s="304"/>
      <c r="AK64" s="304"/>
      <c r="AL64" s="304"/>
    </row>
    <row r="65" spans="1:38" s="312" customFormat="1" ht="20.100000000000001" customHeight="1">
      <c r="A65" s="141" t="str">
        <f t="shared" si="11"/>
        <v>MOU040</v>
      </c>
      <c r="B65" s="125" t="s">
        <v>336</v>
      </c>
      <c r="C65" s="125">
        <v>9</v>
      </c>
      <c r="D65" s="125" t="s">
        <v>132</v>
      </c>
      <c r="E65" s="125" t="s">
        <v>159</v>
      </c>
      <c r="F65" s="125" t="s">
        <v>137</v>
      </c>
      <c r="G65" s="125" t="s">
        <v>53</v>
      </c>
      <c r="H65" s="125"/>
      <c r="I65" s="125" t="s">
        <v>125</v>
      </c>
      <c r="J65" s="125">
        <v>1</v>
      </c>
      <c r="K65" s="125" t="s">
        <v>342</v>
      </c>
      <c r="L65" s="125" t="s">
        <v>31</v>
      </c>
      <c r="M65" s="125"/>
      <c r="N65" s="126"/>
      <c r="O65" s="125"/>
      <c r="P65" s="125"/>
      <c r="Q65" s="125"/>
      <c r="R65" s="125"/>
      <c r="S65" s="125"/>
      <c r="T65" s="125"/>
      <c r="U65" s="125"/>
      <c r="V65" s="125" t="s">
        <v>42</v>
      </c>
      <c r="W65" s="131">
        <v>320</v>
      </c>
      <c r="X65" s="132">
        <f>W65/58</f>
        <v>5.5172413793103452</v>
      </c>
      <c r="Y65" s="127"/>
      <c r="Z65" s="128"/>
      <c r="AA65" s="125"/>
      <c r="AB65" s="130">
        <f>Y65</f>
        <v>0</v>
      </c>
      <c r="AC65" s="125"/>
      <c r="AD65" s="125"/>
      <c r="AE65" s="125">
        <v>220608</v>
      </c>
      <c r="AF65" s="125" t="s">
        <v>35</v>
      </c>
      <c r="AG65" s="125"/>
      <c r="AH65" s="125"/>
      <c r="AI65" s="304"/>
      <c r="AJ65" s="304"/>
      <c r="AK65" s="304"/>
      <c r="AL65" s="304"/>
    </row>
    <row r="66" spans="1:38" s="312" customFormat="1" ht="20.100000000000001" customHeight="1">
      <c r="A66" s="141" t="str">
        <f t="shared" si="11"/>
        <v>MOU041</v>
      </c>
      <c r="B66" s="125" t="s">
        <v>336</v>
      </c>
      <c r="C66" s="125">
        <v>9</v>
      </c>
      <c r="D66" s="125" t="s">
        <v>132</v>
      </c>
      <c r="E66" s="125" t="s">
        <v>640</v>
      </c>
      <c r="F66" s="125" t="s">
        <v>133</v>
      </c>
      <c r="G66" s="125" t="s">
        <v>53</v>
      </c>
      <c r="H66" s="125">
        <v>241104</v>
      </c>
      <c r="I66" s="125" t="s">
        <v>125</v>
      </c>
      <c r="J66" s="125">
        <v>1</v>
      </c>
      <c r="K66" s="125" t="s">
        <v>363</v>
      </c>
      <c r="L66" s="125" t="s">
        <v>31</v>
      </c>
      <c r="M66" s="125" t="s">
        <v>364</v>
      </c>
      <c r="N66" s="126" t="s">
        <v>367</v>
      </c>
      <c r="O66" s="125"/>
      <c r="P66" s="125"/>
      <c r="Q66" s="125"/>
      <c r="R66" s="125"/>
      <c r="S66" s="125"/>
      <c r="T66" s="125"/>
      <c r="U66" s="125"/>
      <c r="V66" s="125" t="s">
        <v>42</v>
      </c>
      <c r="W66" s="131">
        <v>299</v>
      </c>
      <c r="X66" s="132">
        <f>W66/58</f>
        <v>5.1551724137931032</v>
      </c>
      <c r="Y66" s="129"/>
      <c r="Z66" s="128"/>
      <c r="AA66" s="125"/>
      <c r="AB66" s="130">
        <f>Y66</f>
        <v>0</v>
      </c>
      <c r="AC66" s="125"/>
      <c r="AD66" s="125"/>
      <c r="AE66" s="125">
        <v>241104</v>
      </c>
      <c r="AF66" s="125" t="s">
        <v>360</v>
      </c>
      <c r="AG66" s="125" t="s">
        <v>641</v>
      </c>
      <c r="AH66" s="125">
        <v>251203</v>
      </c>
      <c r="AI66" s="304"/>
      <c r="AJ66" s="304"/>
      <c r="AK66" s="304"/>
      <c r="AL66" s="304"/>
    </row>
    <row r="67" spans="1:38" s="156" customFormat="1" ht="20.100000000000001" customHeight="1">
      <c r="A67" s="141" t="str">
        <f t="shared" si="11"/>
        <v>MOU042</v>
      </c>
      <c r="B67" s="125" t="s">
        <v>336</v>
      </c>
      <c r="C67" s="125">
        <v>10</v>
      </c>
      <c r="D67" s="125" t="s">
        <v>132</v>
      </c>
      <c r="E67" s="125" t="s">
        <v>155</v>
      </c>
      <c r="F67" s="125" t="s">
        <v>137</v>
      </c>
      <c r="G67" s="125" t="s">
        <v>53</v>
      </c>
      <c r="H67" s="125"/>
      <c r="I67" s="125" t="s">
        <v>125</v>
      </c>
      <c r="J67" s="125">
        <v>1</v>
      </c>
      <c r="K67" s="125" t="s">
        <v>337</v>
      </c>
      <c r="L67" s="125" t="s">
        <v>31</v>
      </c>
      <c r="M67" s="125" t="s">
        <v>338</v>
      </c>
      <c r="N67" s="126">
        <v>6903384574539</v>
      </c>
      <c r="O67" s="125"/>
      <c r="P67" s="125"/>
      <c r="Q67" s="125"/>
      <c r="R67" s="125"/>
      <c r="S67" s="125"/>
      <c r="T67" s="125"/>
      <c r="U67" s="125"/>
      <c r="V67" s="125" t="s">
        <v>42</v>
      </c>
      <c r="W67" s="131">
        <v>450</v>
      </c>
      <c r="X67" s="132">
        <f>W67/58</f>
        <v>7.7586206896551726</v>
      </c>
      <c r="Y67" s="129"/>
      <c r="Z67" s="128"/>
      <c r="AA67" s="125"/>
      <c r="AB67" s="130">
        <f>Y67</f>
        <v>0</v>
      </c>
      <c r="AC67" s="125"/>
      <c r="AD67" s="125"/>
      <c r="AE67" s="125">
        <v>220608</v>
      </c>
      <c r="AF67" s="125" t="s">
        <v>35</v>
      </c>
      <c r="AG67" s="125"/>
      <c r="AH67" s="125"/>
      <c r="AI67" s="185"/>
      <c r="AJ67" s="185"/>
      <c r="AK67" s="185"/>
      <c r="AL67" s="185"/>
    </row>
    <row r="68" spans="1:38" s="186" customFormat="1" ht="20.100000000000001" customHeight="1">
      <c r="A68" s="141" t="str">
        <f t="shared" si="11"/>
        <v>MOU043</v>
      </c>
      <c r="B68" s="145" t="s">
        <v>336</v>
      </c>
      <c r="C68" s="125">
        <v>11</v>
      </c>
      <c r="D68" s="125" t="s">
        <v>132</v>
      </c>
      <c r="E68" s="125" t="s">
        <v>155</v>
      </c>
      <c r="F68" s="125" t="s">
        <v>133</v>
      </c>
      <c r="G68" s="125" t="s">
        <v>53</v>
      </c>
      <c r="H68" s="125"/>
      <c r="I68" s="125" t="s">
        <v>125</v>
      </c>
      <c r="J68" s="125">
        <v>1</v>
      </c>
      <c r="K68" s="145" t="s">
        <v>339</v>
      </c>
      <c r="L68" s="145" t="s">
        <v>31</v>
      </c>
      <c r="M68" s="145" t="s">
        <v>340</v>
      </c>
      <c r="N68" s="146">
        <v>3230808105418</v>
      </c>
      <c r="O68" s="145"/>
      <c r="P68" s="145"/>
      <c r="Q68" s="145"/>
      <c r="R68" s="145"/>
      <c r="S68" s="145"/>
      <c r="T68" s="145"/>
      <c r="U68" s="145"/>
      <c r="V68" s="145" t="s">
        <v>42</v>
      </c>
      <c r="W68" s="147">
        <v>300</v>
      </c>
      <c r="X68" s="132">
        <f>W68/58</f>
        <v>5.1724137931034484</v>
      </c>
      <c r="Y68" s="129"/>
      <c r="Z68" s="128"/>
      <c r="AA68" s="145"/>
      <c r="AB68" s="130">
        <f>Y68</f>
        <v>0</v>
      </c>
      <c r="AC68" s="125"/>
      <c r="AD68" s="125"/>
      <c r="AE68" s="125">
        <v>230906</v>
      </c>
      <c r="AF68" s="125" t="s">
        <v>35</v>
      </c>
      <c r="AG68" s="125"/>
      <c r="AH68" s="125"/>
      <c r="AI68" s="185"/>
      <c r="AJ68" s="185"/>
      <c r="AK68" s="185"/>
      <c r="AL68" s="185"/>
    </row>
    <row r="69" spans="1:38" s="184" customFormat="1" ht="20.100000000000001" customHeight="1">
      <c r="A69" s="141" t="str">
        <f t="shared" si="11"/>
        <v>MOU044</v>
      </c>
      <c r="B69" s="141" t="s">
        <v>336</v>
      </c>
      <c r="C69" s="141">
        <v>14</v>
      </c>
      <c r="D69" s="141" t="s">
        <v>132</v>
      </c>
      <c r="E69" s="149" t="s">
        <v>482</v>
      </c>
      <c r="F69" s="141" t="s">
        <v>133</v>
      </c>
      <c r="G69" s="141" t="s">
        <v>53</v>
      </c>
      <c r="H69" s="141"/>
      <c r="I69" s="141" t="s">
        <v>125</v>
      </c>
      <c r="J69" s="141">
        <v>1</v>
      </c>
      <c r="K69" s="141" t="s">
        <v>483</v>
      </c>
      <c r="L69" s="141" t="s">
        <v>31</v>
      </c>
      <c r="M69" s="141" t="s">
        <v>483</v>
      </c>
      <c r="N69" s="142"/>
      <c r="O69" s="141"/>
      <c r="P69" s="141"/>
      <c r="Q69" s="141"/>
      <c r="R69" s="141"/>
      <c r="S69" s="141"/>
      <c r="T69" s="141"/>
      <c r="U69" s="141"/>
      <c r="V69" s="141" t="s">
        <v>42</v>
      </c>
      <c r="W69" s="143"/>
      <c r="X69" s="136"/>
      <c r="Y69" s="144"/>
      <c r="Z69" s="150"/>
      <c r="AA69" s="141"/>
      <c r="AB69" s="141"/>
      <c r="AC69" s="141"/>
      <c r="AD69" s="141"/>
      <c r="AE69" s="125">
        <v>250623</v>
      </c>
      <c r="AF69" s="141" t="s">
        <v>35</v>
      </c>
      <c r="AG69" s="141"/>
      <c r="AH69" s="141"/>
    </row>
    <row r="70" spans="1:38" s="156" customFormat="1" ht="20.100000000000001" customHeight="1">
      <c r="A70" s="141" t="str">
        <f t="shared" si="11"/>
        <v>MOU045</v>
      </c>
      <c r="B70" s="125" t="s">
        <v>336</v>
      </c>
      <c r="C70" s="125">
        <v>16</v>
      </c>
      <c r="D70" s="125" t="s">
        <v>132</v>
      </c>
      <c r="E70" s="125" t="s">
        <v>329</v>
      </c>
      <c r="F70" s="125" t="s">
        <v>133</v>
      </c>
      <c r="G70" s="125" t="s">
        <v>53</v>
      </c>
      <c r="H70" s="125">
        <v>241104</v>
      </c>
      <c r="I70" s="125" t="s">
        <v>125</v>
      </c>
      <c r="J70" s="125">
        <v>1</v>
      </c>
      <c r="K70" s="125" t="s">
        <v>363</v>
      </c>
      <c r="L70" s="125" t="s">
        <v>31</v>
      </c>
      <c r="M70" s="125" t="s">
        <v>364</v>
      </c>
      <c r="N70" s="126" t="s">
        <v>365</v>
      </c>
      <c r="O70" s="125"/>
      <c r="P70" s="125"/>
      <c r="Q70" s="125"/>
      <c r="R70" s="125"/>
      <c r="S70" s="125"/>
      <c r="T70" s="125"/>
      <c r="U70" s="125"/>
      <c r="V70" s="125" t="s">
        <v>42</v>
      </c>
      <c r="W70" s="131">
        <v>299</v>
      </c>
      <c r="X70" s="132">
        <f>W70/58</f>
        <v>5.1551724137931032</v>
      </c>
      <c r="Y70" s="129"/>
      <c r="Z70" s="128"/>
      <c r="AA70" s="125"/>
      <c r="AB70" s="130">
        <f>Y70</f>
        <v>0</v>
      </c>
      <c r="AC70" s="133"/>
      <c r="AD70" s="133"/>
      <c r="AE70" s="125">
        <v>241104</v>
      </c>
      <c r="AF70" s="125" t="s">
        <v>360</v>
      </c>
      <c r="AG70" s="125" t="s">
        <v>366</v>
      </c>
      <c r="AH70" s="125">
        <v>241005</v>
      </c>
      <c r="AI70" s="185"/>
      <c r="AJ70" s="185"/>
      <c r="AK70" s="185"/>
      <c r="AL70" s="185"/>
    </row>
    <row r="71" spans="1:38" s="140" customFormat="1" ht="20.100000000000001" customHeight="1">
      <c r="A71" s="141" t="str">
        <f t="shared" si="11"/>
        <v>MOU046</v>
      </c>
      <c r="B71" s="321" t="s">
        <v>336</v>
      </c>
      <c r="C71" s="141">
        <v>7</v>
      </c>
      <c r="D71" s="141" t="s">
        <v>132</v>
      </c>
      <c r="E71" s="141" t="s">
        <v>171</v>
      </c>
      <c r="F71" s="141" t="s">
        <v>133</v>
      </c>
      <c r="G71" s="141" t="s">
        <v>53</v>
      </c>
      <c r="H71" s="141">
        <v>251103</v>
      </c>
      <c r="I71" s="141" t="s">
        <v>125</v>
      </c>
      <c r="J71" s="141">
        <v>1</v>
      </c>
      <c r="K71" s="141" t="s">
        <v>604</v>
      </c>
      <c r="L71" s="141" t="s">
        <v>284</v>
      </c>
      <c r="M71" s="141" t="s">
        <v>610</v>
      </c>
      <c r="N71" s="234" t="s">
        <v>613</v>
      </c>
      <c r="O71" s="141"/>
      <c r="P71" s="141"/>
      <c r="Q71" s="141"/>
      <c r="R71" s="141"/>
      <c r="S71" s="141"/>
      <c r="T71" s="141"/>
      <c r="U71" s="141"/>
      <c r="V71" s="141" t="s">
        <v>42</v>
      </c>
      <c r="W71" s="141"/>
      <c r="X71" s="141"/>
      <c r="Y71" s="141"/>
      <c r="Z71" s="141"/>
      <c r="AA71" s="141"/>
      <c r="AB71" s="141"/>
      <c r="AC71" s="141"/>
      <c r="AE71" s="140">
        <v>251103</v>
      </c>
      <c r="AF71" s="140" t="s">
        <v>360</v>
      </c>
      <c r="AG71" s="140" t="s">
        <v>1133</v>
      </c>
      <c r="AH71" s="140">
        <v>260107</v>
      </c>
      <c r="AI71" s="184"/>
      <c r="AJ71" s="184"/>
      <c r="AK71" s="184"/>
      <c r="AL71" s="184"/>
    </row>
    <row r="72" spans="1:38" s="109" customFormat="1" ht="20.100000000000001" customHeight="1">
      <c r="A72" s="154" t="str">
        <f>"PM"&amp;TEXT(ROW(A41),"000")</f>
        <v>PM041</v>
      </c>
      <c r="B72" s="194" t="s">
        <v>459</v>
      </c>
      <c r="C72" s="194">
        <v>9</v>
      </c>
      <c r="D72" s="194" t="s">
        <v>132</v>
      </c>
      <c r="E72" s="194" t="s">
        <v>329</v>
      </c>
      <c r="F72" s="194" t="s">
        <v>160</v>
      </c>
      <c r="G72" s="194" t="s">
        <v>53</v>
      </c>
      <c r="H72" s="194">
        <v>251208</v>
      </c>
      <c r="I72" s="194" t="s">
        <v>125</v>
      </c>
      <c r="J72" s="194">
        <v>1</v>
      </c>
      <c r="K72" s="194" t="s">
        <v>37</v>
      </c>
      <c r="L72" s="194" t="s">
        <v>701</v>
      </c>
      <c r="M72" s="194" t="s">
        <v>461</v>
      </c>
      <c r="N72" s="234" t="s">
        <v>703</v>
      </c>
      <c r="O72" s="194" t="s">
        <v>232</v>
      </c>
      <c r="P72" s="194"/>
      <c r="Q72" s="194"/>
      <c r="R72" s="194"/>
      <c r="S72" s="194"/>
      <c r="T72" s="194"/>
      <c r="U72" s="194"/>
      <c r="V72" s="194" t="s">
        <v>42</v>
      </c>
      <c r="W72" s="194"/>
      <c r="X72" s="194"/>
      <c r="Y72" s="194"/>
      <c r="Z72" s="194"/>
      <c r="AA72" s="194"/>
      <c r="AB72" s="194"/>
      <c r="AC72" s="194"/>
      <c r="AD72" s="194"/>
      <c r="AE72" s="194">
        <v>251208</v>
      </c>
      <c r="AF72" s="194" t="s">
        <v>360</v>
      </c>
      <c r="AG72" s="194"/>
      <c r="AH72" s="194"/>
      <c r="AI72" s="184"/>
      <c r="AJ72" s="184"/>
      <c r="AK72" s="184"/>
      <c r="AL72" s="184"/>
    </row>
    <row r="73" spans="1:38" s="184" customFormat="1" ht="20.100000000000001" customHeight="1">
      <c r="A73" s="154" t="str">
        <f>"PM"&amp;TEXT(ROW(A42),"000")</f>
        <v>PM042</v>
      </c>
      <c r="B73" s="194" t="s">
        <v>459</v>
      </c>
      <c r="C73" s="194">
        <v>10</v>
      </c>
      <c r="D73" s="194" t="s">
        <v>132</v>
      </c>
      <c r="E73" s="194" t="s">
        <v>171</v>
      </c>
      <c r="F73" s="194" t="s">
        <v>160</v>
      </c>
      <c r="G73" s="194" t="s">
        <v>53</v>
      </c>
      <c r="H73" s="194">
        <v>251208</v>
      </c>
      <c r="I73" s="194" t="s">
        <v>125</v>
      </c>
      <c r="J73" s="194">
        <v>1</v>
      </c>
      <c r="K73" s="194" t="s">
        <v>37</v>
      </c>
      <c r="L73" s="194" t="s">
        <v>701</v>
      </c>
      <c r="M73" s="194" t="s">
        <v>461</v>
      </c>
      <c r="N73" s="234" t="s">
        <v>704</v>
      </c>
      <c r="O73" s="194" t="s">
        <v>232</v>
      </c>
      <c r="P73" s="194"/>
      <c r="Q73" s="194"/>
      <c r="R73" s="194"/>
      <c r="S73" s="194"/>
      <c r="T73" s="194"/>
      <c r="U73" s="194"/>
      <c r="V73" s="194" t="s">
        <v>42</v>
      </c>
      <c r="W73" s="194"/>
      <c r="X73" s="194"/>
      <c r="Y73" s="194"/>
      <c r="Z73" s="194"/>
      <c r="AA73" s="194"/>
      <c r="AB73" s="194"/>
      <c r="AC73" s="194"/>
      <c r="AD73" s="194"/>
      <c r="AE73" s="194">
        <v>251208</v>
      </c>
      <c r="AF73" s="194" t="s">
        <v>360</v>
      </c>
      <c r="AG73" s="194"/>
      <c r="AH73" s="194"/>
    </row>
    <row r="74" spans="1:38" s="140" customFormat="1" ht="20.100000000000001" customHeight="1">
      <c r="A74" s="154" t="str">
        <f>"PM"&amp;TEXT(ROW(A43),"000")</f>
        <v>PM043</v>
      </c>
      <c r="B74" s="194" t="s">
        <v>459</v>
      </c>
      <c r="C74" s="194">
        <v>11</v>
      </c>
      <c r="D74" s="194" t="s">
        <v>132</v>
      </c>
      <c r="E74" s="194" t="s">
        <v>482</v>
      </c>
      <c r="F74" s="194" t="s">
        <v>160</v>
      </c>
      <c r="G74" s="194" t="s">
        <v>53</v>
      </c>
      <c r="H74" s="194">
        <v>251208</v>
      </c>
      <c r="I74" s="194" t="s">
        <v>125</v>
      </c>
      <c r="J74" s="194">
        <v>1</v>
      </c>
      <c r="K74" s="194" t="s">
        <v>37</v>
      </c>
      <c r="L74" s="194" t="s">
        <v>701</v>
      </c>
      <c r="M74" s="194" t="s">
        <v>461</v>
      </c>
      <c r="N74" s="234" t="s">
        <v>705</v>
      </c>
      <c r="O74" s="194" t="s">
        <v>232</v>
      </c>
      <c r="P74" s="194"/>
      <c r="Q74" s="194"/>
      <c r="R74" s="194"/>
      <c r="S74" s="194"/>
      <c r="T74" s="194"/>
      <c r="U74" s="194"/>
      <c r="V74" s="194" t="s">
        <v>42</v>
      </c>
      <c r="W74" s="194"/>
      <c r="X74" s="194"/>
      <c r="Y74" s="194"/>
      <c r="Z74" s="194"/>
      <c r="AA74" s="194"/>
      <c r="AB74" s="194"/>
      <c r="AC74" s="194"/>
      <c r="AD74" s="194"/>
      <c r="AE74" s="194">
        <v>251208</v>
      </c>
      <c r="AF74" s="194" t="s">
        <v>360</v>
      </c>
      <c r="AG74" s="194"/>
      <c r="AH74" s="194"/>
      <c r="AI74" s="184"/>
      <c r="AJ74" s="184"/>
      <c r="AK74" s="184"/>
      <c r="AL74" s="184"/>
    </row>
    <row r="75" spans="1:38" s="184" customFormat="1" ht="20.100000000000001" customHeight="1">
      <c r="A75" s="125" t="str">
        <f>"P"&amp;TEXT(ROW(A43),"000")</f>
        <v>P043</v>
      </c>
      <c r="B75" s="125" t="s">
        <v>343</v>
      </c>
      <c r="C75" s="125">
        <v>1</v>
      </c>
      <c r="D75" s="125" t="s">
        <v>132</v>
      </c>
      <c r="E75" s="125" t="s">
        <v>159</v>
      </c>
      <c r="F75" s="125" t="s">
        <v>160</v>
      </c>
      <c r="G75" s="125" t="s">
        <v>53</v>
      </c>
      <c r="H75" s="125">
        <v>241016</v>
      </c>
      <c r="I75" s="125" t="s">
        <v>125</v>
      </c>
      <c r="J75" s="125">
        <v>1</v>
      </c>
      <c r="K75" s="125" t="s">
        <v>682</v>
      </c>
      <c r="L75" s="125" t="s">
        <v>31</v>
      </c>
      <c r="M75" s="125" t="s">
        <v>344</v>
      </c>
      <c r="N75" s="126" t="s">
        <v>346</v>
      </c>
      <c r="O75" s="125"/>
      <c r="P75" s="125"/>
      <c r="Q75" s="125"/>
      <c r="R75" s="125"/>
      <c r="S75" s="125"/>
      <c r="T75" s="125"/>
      <c r="U75" s="125"/>
      <c r="V75" s="125" t="s">
        <v>42</v>
      </c>
      <c r="W75" s="131">
        <v>8500</v>
      </c>
      <c r="X75" s="132">
        <f>W75/58</f>
        <v>146.55172413793105</v>
      </c>
      <c r="Y75" s="129"/>
      <c r="Z75" s="128"/>
      <c r="AA75" s="125"/>
      <c r="AB75" s="130">
        <f>Y75</f>
        <v>0</v>
      </c>
      <c r="AC75" s="125"/>
      <c r="AD75" s="125"/>
      <c r="AE75" s="125">
        <v>230309</v>
      </c>
      <c r="AF75" s="125" t="s">
        <v>35</v>
      </c>
      <c r="AG75" s="125" t="s">
        <v>347</v>
      </c>
      <c r="AH75" s="125"/>
    </row>
    <row r="76" spans="1:38" s="184" customFormat="1" ht="20.100000000000001" customHeight="1">
      <c r="A76" s="125" t="str">
        <f>"P"&amp;TEXT(ROW(A44),"000")</f>
        <v>P044</v>
      </c>
      <c r="B76" s="125" t="s">
        <v>343</v>
      </c>
      <c r="C76" s="125">
        <v>2</v>
      </c>
      <c r="D76" s="125" t="s">
        <v>132</v>
      </c>
      <c r="E76" s="125" t="s">
        <v>187</v>
      </c>
      <c r="F76" s="125" t="s">
        <v>111</v>
      </c>
      <c r="G76" s="125" t="s">
        <v>53</v>
      </c>
      <c r="H76" s="125">
        <v>241016</v>
      </c>
      <c r="I76" s="141" t="s">
        <v>168</v>
      </c>
      <c r="J76" s="125">
        <v>1</v>
      </c>
      <c r="K76" s="125" t="s">
        <v>682</v>
      </c>
      <c r="L76" s="125" t="s">
        <v>31</v>
      </c>
      <c r="M76" s="125" t="s">
        <v>344</v>
      </c>
      <c r="N76" s="126" t="s">
        <v>345</v>
      </c>
      <c r="O76" s="125"/>
      <c r="P76" s="125"/>
      <c r="Q76" s="125"/>
      <c r="R76" s="125"/>
      <c r="S76" s="125"/>
      <c r="T76" s="125"/>
      <c r="U76" s="125"/>
      <c r="V76" s="125" t="s">
        <v>42</v>
      </c>
      <c r="W76" s="131">
        <v>8500</v>
      </c>
      <c r="X76" s="132">
        <f>W76/58</f>
        <v>146.55172413793105</v>
      </c>
      <c r="Y76" s="129"/>
      <c r="Z76" s="128"/>
      <c r="AA76" s="125"/>
      <c r="AB76" s="130">
        <f>Y76</f>
        <v>0</v>
      </c>
      <c r="AC76" s="125"/>
      <c r="AD76" s="125"/>
      <c r="AE76" s="125">
        <v>230309</v>
      </c>
      <c r="AF76" s="125" t="s">
        <v>35</v>
      </c>
      <c r="AG76" s="125"/>
      <c r="AH76" s="125"/>
    </row>
    <row r="77" spans="1:38" s="156" customFormat="1" ht="20.100000000000001" customHeight="1">
      <c r="A77" s="141" t="str">
        <f t="shared" ref="A77:A83" si="12">"T"&amp;TEXT(ROW(A39),"000")</f>
        <v>T039</v>
      </c>
      <c r="B77" s="125" t="s">
        <v>121</v>
      </c>
      <c r="C77" s="125">
        <v>8</v>
      </c>
      <c r="D77" s="125" t="s">
        <v>132</v>
      </c>
      <c r="E77" s="125" t="s">
        <v>159</v>
      </c>
      <c r="F77" s="125" t="s">
        <v>133</v>
      </c>
      <c r="G77" s="125" t="s">
        <v>53</v>
      </c>
      <c r="H77" s="125">
        <v>250130</v>
      </c>
      <c r="I77" s="125" t="s">
        <v>125</v>
      </c>
      <c r="J77" s="125">
        <v>1</v>
      </c>
      <c r="K77" s="125" t="s">
        <v>44</v>
      </c>
      <c r="L77" s="125" t="s">
        <v>31</v>
      </c>
      <c r="M77" s="134" t="s">
        <v>419</v>
      </c>
      <c r="N77" s="134" t="s">
        <v>472</v>
      </c>
      <c r="O77" s="134" t="s">
        <v>128</v>
      </c>
      <c r="P77" s="133"/>
      <c r="Q77" s="125"/>
      <c r="R77" s="125" t="s">
        <v>421</v>
      </c>
      <c r="S77" s="125" t="s">
        <v>141</v>
      </c>
      <c r="T77" s="125"/>
      <c r="U77" s="134" t="s">
        <v>467</v>
      </c>
      <c r="V77" s="125" t="s">
        <v>42</v>
      </c>
      <c r="W77" s="135">
        <v>9426</v>
      </c>
      <c r="X77" s="136">
        <f>W77/58</f>
        <v>162.51724137931035</v>
      </c>
      <c r="Y77" s="137"/>
      <c r="Z77" s="138"/>
      <c r="AA77" s="125"/>
      <c r="AB77" s="139"/>
      <c r="AC77" s="125"/>
      <c r="AD77" s="125"/>
      <c r="AE77" s="125">
        <v>250130</v>
      </c>
      <c r="AF77" s="125" t="s">
        <v>35</v>
      </c>
      <c r="AG77" s="125" t="s">
        <v>473</v>
      </c>
      <c r="AH77" s="125">
        <v>250212</v>
      </c>
      <c r="AI77" s="185"/>
      <c r="AJ77" s="185"/>
      <c r="AK77" s="185"/>
      <c r="AL77" s="185"/>
    </row>
    <row r="78" spans="1:38" s="156" customFormat="1" ht="20.100000000000001" customHeight="1">
      <c r="A78" s="141" t="str">
        <f t="shared" si="12"/>
        <v>T040</v>
      </c>
      <c r="B78" s="141" t="s">
        <v>121</v>
      </c>
      <c r="C78" s="141">
        <v>10</v>
      </c>
      <c r="D78" s="141" t="s">
        <v>132</v>
      </c>
      <c r="E78" s="141" t="s">
        <v>640</v>
      </c>
      <c r="F78" s="141" t="s">
        <v>187</v>
      </c>
      <c r="G78" s="141" t="s">
        <v>53</v>
      </c>
      <c r="H78" s="141">
        <v>250819</v>
      </c>
      <c r="I78" s="141" t="s">
        <v>125</v>
      </c>
      <c r="J78" s="141">
        <v>1</v>
      </c>
      <c r="K78" s="141" t="s">
        <v>512</v>
      </c>
      <c r="L78" s="141"/>
      <c r="M78" s="141" t="s">
        <v>513</v>
      </c>
      <c r="N78" s="142" t="s">
        <v>514</v>
      </c>
      <c r="O78" s="141" t="s">
        <v>128</v>
      </c>
      <c r="P78" s="141"/>
      <c r="Q78" s="141"/>
      <c r="R78" s="141"/>
      <c r="S78" s="141"/>
      <c r="T78" s="141"/>
      <c r="U78" s="141"/>
      <c r="V78" s="141" t="s">
        <v>42</v>
      </c>
      <c r="W78" s="143"/>
      <c r="X78" s="141"/>
      <c r="Y78" s="144"/>
      <c r="Z78" s="144"/>
      <c r="AA78" s="141"/>
      <c r="AB78" s="141"/>
      <c r="AC78" s="141"/>
      <c r="AD78" s="141"/>
      <c r="AE78" s="141">
        <v>250818</v>
      </c>
      <c r="AF78" s="141" t="s">
        <v>360</v>
      </c>
      <c r="AG78" s="141" t="s">
        <v>641</v>
      </c>
      <c r="AH78" s="141">
        <v>251203</v>
      </c>
      <c r="AI78" s="185"/>
      <c r="AJ78" s="185"/>
      <c r="AK78" s="185"/>
      <c r="AL78" s="185"/>
    </row>
    <row r="79" spans="1:38" s="156" customFormat="1" ht="20.100000000000001" customHeight="1">
      <c r="A79" s="141" t="str">
        <f t="shared" si="12"/>
        <v>T041</v>
      </c>
      <c r="B79" s="145" t="s">
        <v>121</v>
      </c>
      <c r="C79" s="125">
        <v>11</v>
      </c>
      <c r="D79" s="125" t="s">
        <v>132</v>
      </c>
      <c r="E79" s="125" t="s">
        <v>329</v>
      </c>
      <c r="F79" s="125" t="s">
        <v>133</v>
      </c>
      <c r="G79" s="145" t="s">
        <v>53</v>
      </c>
      <c r="H79" s="145"/>
      <c r="I79" s="125" t="s">
        <v>125</v>
      </c>
      <c r="J79" s="125">
        <v>1</v>
      </c>
      <c r="K79" s="145" t="s">
        <v>44</v>
      </c>
      <c r="L79" s="145" t="s">
        <v>31</v>
      </c>
      <c r="M79" s="145" t="s">
        <v>138</v>
      </c>
      <c r="N79" s="146" t="s">
        <v>330</v>
      </c>
      <c r="O79" s="145">
        <v>10</v>
      </c>
      <c r="P79" s="145"/>
      <c r="Q79" s="145"/>
      <c r="R79" s="145" t="s">
        <v>140</v>
      </c>
      <c r="S79" s="145" t="s">
        <v>141</v>
      </c>
      <c r="T79" s="145"/>
      <c r="U79" s="145" t="s">
        <v>131</v>
      </c>
      <c r="V79" s="145" t="s">
        <v>42</v>
      </c>
      <c r="W79" s="147">
        <v>15895</v>
      </c>
      <c r="X79" s="132">
        <f>W79/58</f>
        <v>274.05172413793105</v>
      </c>
      <c r="Y79" s="129"/>
      <c r="Z79" s="128"/>
      <c r="AA79" s="145"/>
      <c r="AB79" s="130">
        <f>Y79</f>
        <v>0</v>
      </c>
      <c r="AC79" s="125"/>
      <c r="AD79" s="125"/>
      <c r="AE79" s="125">
        <v>230201</v>
      </c>
      <c r="AF79" s="125" t="s">
        <v>35</v>
      </c>
      <c r="AG79" s="125"/>
      <c r="AH79" s="125"/>
      <c r="AI79" s="185"/>
      <c r="AJ79" s="185"/>
      <c r="AK79" s="185"/>
      <c r="AL79" s="185"/>
    </row>
    <row r="80" spans="1:38" s="156" customFormat="1" ht="20.100000000000001" customHeight="1">
      <c r="A80" s="141" t="str">
        <f t="shared" si="12"/>
        <v>T042</v>
      </c>
      <c r="B80" s="141" t="s">
        <v>121</v>
      </c>
      <c r="C80" s="141">
        <v>12</v>
      </c>
      <c r="D80" s="141" t="s">
        <v>132</v>
      </c>
      <c r="E80" s="141" t="s">
        <v>155</v>
      </c>
      <c r="F80" s="141" t="s">
        <v>516</v>
      </c>
      <c r="G80" s="141" t="s">
        <v>53</v>
      </c>
      <c r="H80" s="141">
        <v>250819</v>
      </c>
      <c r="I80" s="141" t="s">
        <v>125</v>
      </c>
      <c r="J80" s="141">
        <v>1</v>
      </c>
      <c r="K80" s="141" t="s">
        <v>512</v>
      </c>
      <c r="L80" s="141"/>
      <c r="M80" s="141" t="s">
        <v>513</v>
      </c>
      <c r="N80" s="142" t="s">
        <v>517</v>
      </c>
      <c r="O80" s="141" t="s">
        <v>128</v>
      </c>
      <c r="P80" s="141"/>
      <c r="Q80" s="141"/>
      <c r="R80" s="141"/>
      <c r="S80" s="141"/>
      <c r="T80" s="141"/>
      <c r="U80" s="141"/>
      <c r="V80" s="141" t="s">
        <v>42</v>
      </c>
      <c r="W80" s="143"/>
      <c r="X80" s="141"/>
      <c r="Y80" s="144"/>
      <c r="Z80" s="144"/>
      <c r="AA80" s="141"/>
      <c r="AB80" s="141"/>
      <c r="AC80" s="141"/>
      <c r="AD80" s="141"/>
      <c r="AE80" s="141">
        <v>250818</v>
      </c>
      <c r="AF80" s="141" t="s">
        <v>360</v>
      </c>
      <c r="AG80" s="141" t="s">
        <v>515</v>
      </c>
      <c r="AH80" s="141">
        <v>250827</v>
      </c>
      <c r="AI80" s="185"/>
      <c r="AJ80" s="185"/>
      <c r="AK80" s="185"/>
      <c r="AL80" s="185"/>
    </row>
    <row r="81" spans="1:38" s="185" customFormat="1" ht="20.100000000000001" customHeight="1">
      <c r="A81" s="141" t="str">
        <f t="shared" si="12"/>
        <v>T043</v>
      </c>
      <c r="B81" s="145" t="s">
        <v>121</v>
      </c>
      <c r="C81" s="125">
        <v>13</v>
      </c>
      <c r="D81" s="125" t="s">
        <v>132</v>
      </c>
      <c r="E81" s="145" t="s">
        <v>171</v>
      </c>
      <c r="F81" s="125" t="s">
        <v>137</v>
      </c>
      <c r="G81" s="145" t="s">
        <v>53</v>
      </c>
      <c r="H81" s="145"/>
      <c r="I81" s="125" t="s">
        <v>125</v>
      </c>
      <c r="J81" s="145">
        <v>1</v>
      </c>
      <c r="K81" s="145" t="s">
        <v>44</v>
      </c>
      <c r="L81" s="145" t="s">
        <v>31</v>
      </c>
      <c r="M81" s="145" t="s">
        <v>331</v>
      </c>
      <c r="N81" s="146" t="s">
        <v>332</v>
      </c>
      <c r="O81" s="145" t="s">
        <v>128</v>
      </c>
      <c r="P81" s="145"/>
      <c r="Q81" s="145"/>
      <c r="R81" s="145" t="s">
        <v>333</v>
      </c>
      <c r="S81" s="145" t="s">
        <v>334</v>
      </c>
      <c r="T81" s="145"/>
      <c r="U81" s="125" t="s">
        <v>236</v>
      </c>
      <c r="V81" s="145" t="s">
        <v>42</v>
      </c>
      <c r="W81" s="147">
        <v>7200</v>
      </c>
      <c r="X81" s="132">
        <f>W81/58</f>
        <v>124.13793103448276</v>
      </c>
      <c r="Y81" s="129"/>
      <c r="Z81" s="128"/>
      <c r="AA81" s="125"/>
      <c r="AB81" s="130">
        <f>Y81</f>
        <v>0</v>
      </c>
      <c r="AC81" s="125"/>
      <c r="AD81" s="125"/>
      <c r="AE81" s="125">
        <v>210423</v>
      </c>
      <c r="AF81" s="125" t="s">
        <v>35</v>
      </c>
      <c r="AG81" s="125"/>
      <c r="AH81" s="125"/>
    </row>
    <row r="82" spans="1:38" s="185" customFormat="1" ht="20.100000000000001" customHeight="1">
      <c r="A82" s="141" t="str">
        <f t="shared" si="12"/>
        <v>T044</v>
      </c>
      <c r="B82" s="141" t="s">
        <v>121</v>
      </c>
      <c r="C82" s="141">
        <v>15</v>
      </c>
      <c r="D82" s="141" t="s">
        <v>132</v>
      </c>
      <c r="E82" s="141" t="s">
        <v>482</v>
      </c>
      <c r="F82" s="141" t="s">
        <v>133</v>
      </c>
      <c r="G82" s="141" t="s">
        <v>53</v>
      </c>
      <c r="H82" s="141">
        <v>250819</v>
      </c>
      <c r="I82" s="141" t="s">
        <v>125</v>
      </c>
      <c r="J82" s="141">
        <v>1</v>
      </c>
      <c r="K82" s="141" t="s">
        <v>512</v>
      </c>
      <c r="L82" s="141"/>
      <c r="M82" s="141" t="s">
        <v>513</v>
      </c>
      <c r="N82" s="142" t="s">
        <v>519</v>
      </c>
      <c r="O82" s="141" t="s">
        <v>128</v>
      </c>
      <c r="P82" s="141"/>
      <c r="Q82" s="141"/>
      <c r="R82" s="141"/>
      <c r="S82" s="141"/>
      <c r="T82" s="141"/>
      <c r="U82" s="141"/>
      <c r="V82" s="141" t="s">
        <v>42</v>
      </c>
      <c r="W82" s="143"/>
      <c r="X82" s="141"/>
      <c r="Y82" s="148"/>
      <c r="Z82" s="144"/>
      <c r="AA82" s="141"/>
      <c r="AB82" s="141"/>
      <c r="AC82" s="141"/>
      <c r="AD82" s="141"/>
      <c r="AE82" s="141">
        <v>250818</v>
      </c>
      <c r="AF82" s="141" t="s">
        <v>360</v>
      </c>
      <c r="AG82" s="141" t="s">
        <v>1128</v>
      </c>
      <c r="AH82" s="141">
        <v>251223</v>
      </c>
    </row>
    <row r="83" spans="1:38" s="186" customFormat="1" ht="20.100000000000001" customHeight="1">
      <c r="A83" s="141" t="str">
        <f t="shared" si="12"/>
        <v>T045</v>
      </c>
      <c r="B83" s="125" t="s">
        <v>121</v>
      </c>
      <c r="C83" s="125">
        <v>17</v>
      </c>
      <c r="D83" s="125" t="s">
        <v>132</v>
      </c>
      <c r="E83" s="125" t="s">
        <v>643</v>
      </c>
      <c r="F83" s="125" t="s">
        <v>187</v>
      </c>
      <c r="G83" s="125" t="s">
        <v>53</v>
      </c>
      <c r="H83" s="125">
        <v>241003</v>
      </c>
      <c r="I83" s="125" t="s">
        <v>125</v>
      </c>
      <c r="J83" s="125">
        <v>1</v>
      </c>
      <c r="K83" s="125" t="s">
        <v>44</v>
      </c>
      <c r="L83" s="125" t="s">
        <v>31</v>
      </c>
      <c r="M83" s="125" t="s">
        <v>138</v>
      </c>
      <c r="N83" s="126" t="s">
        <v>150</v>
      </c>
      <c r="O83" s="125" t="s">
        <v>128</v>
      </c>
      <c r="P83" s="125"/>
      <c r="Q83" s="125"/>
      <c r="R83" s="125" t="s">
        <v>140</v>
      </c>
      <c r="S83" s="145" t="s">
        <v>141</v>
      </c>
      <c r="T83" s="125"/>
      <c r="U83" s="145" t="s">
        <v>131</v>
      </c>
      <c r="V83" s="125" t="s">
        <v>42</v>
      </c>
      <c r="W83" s="131">
        <v>15064</v>
      </c>
      <c r="X83" s="132">
        <f>W83/58</f>
        <v>259.72413793103448</v>
      </c>
      <c r="Y83" s="129"/>
      <c r="Z83" s="128"/>
      <c r="AA83" s="125"/>
      <c r="AB83" s="127">
        <f>Y83</f>
        <v>0</v>
      </c>
      <c r="AC83" s="125"/>
      <c r="AD83" s="125"/>
      <c r="AE83" s="125" t="s">
        <v>43</v>
      </c>
      <c r="AF83" s="125" t="s">
        <v>35</v>
      </c>
      <c r="AG83" s="125"/>
      <c r="AH83" s="125"/>
    </row>
    <row r="84" spans="1:38" s="156" customFormat="1" ht="20.100000000000001" customHeight="1">
      <c r="A84" s="142" t="str">
        <f>"TEL"&amp;TEXT(ROW(A45),"000")</f>
        <v>TEL045</v>
      </c>
      <c r="B84" s="141" t="s">
        <v>1045</v>
      </c>
      <c r="C84" s="141">
        <v>1</v>
      </c>
      <c r="D84" s="141" t="s">
        <v>132</v>
      </c>
      <c r="E84" s="302" t="s">
        <v>187</v>
      </c>
      <c r="F84" s="141" t="s">
        <v>137</v>
      </c>
      <c r="G84" s="141" t="s">
        <v>886</v>
      </c>
      <c r="H84" s="141" t="s">
        <v>200</v>
      </c>
      <c r="I84" s="141" t="s">
        <v>168</v>
      </c>
      <c r="J84" s="141">
        <v>1</v>
      </c>
      <c r="K84" s="141" t="s">
        <v>1044</v>
      </c>
      <c r="L84" s="141" t="s">
        <v>200</v>
      </c>
      <c r="M84" s="141" t="s">
        <v>1043</v>
      </c>
      <c r="N84" s="142">
        <v>6029201801026150</v>
      </c>
      <c r="O84" s="141"/>
      <c r="P84" s="141"/>
      <c r="Q84" s="141"/>
      <c r="R84" s="141"/>
      <c r="S84" s="141"/>
      <c r="T84" s="141"/>
      <c r="U84" s="141"/>
      <c r="V84" s="141" t="s">
        <v>42</v>
      </c>
      <c r="W84" s="144">
        <v>2000</v>
      </c>
      <c r="X84" s="144">
        <f>W84*J84</f>
        <v>2000</v>
      </c>
      <c r="Y84" s="144">
        <f>X84/50</f>
        <v>40</v>
      </c>
      <c r="Z84" s="141"/>
      <c r="AA84" s="141"/>
      <c r="AB84" s="141"/>
      <c r="AC84" s="141"/>
      <c r="AD84" s="141"/>
      <c r="AE84" s="141">
        <v>190824</v>
      </c>
      <c r="AF84" s="141" t="s">
        <v>715</v>
      </c>
      <c r="AG84" s="141" t="s">
        <v>1042</v>
      </c>
      <c r="AH84" s="141"/>
      <c r="AI84" s="185"/>
      <c r="AJ84" s="185"/>
      <c r="AK84" s="185"/>
      <c r="AL84" s="185"/>
    </row>
    <row r="85" spans="1:38" s="186" customFormat="1" ht="20.100000000000001" customHeight="1">
      <c r="A85" s="126" t="str">
        <f>"WR"&amp;TEXT(ROW(A14),"000")</f>
        <v>WR014</v>
      </c>
      <c r="B85" s="125" t="s">
        <v>223</v>
      </c>
      <c r="C85" s="125">
        <v>0</v>
      </c>
      <c r="D85" s="125" t="s">
        <v>132</v>
      </c>
      <c r="E85" s="125" t="s">
        <v>187</v>
      </c>
      <c r="F85" s="125" t="s">
        <v>137</v>
      </c>
      <c r="G85" s="125" t="s">
        <v>53</v>
      </c>
      <c r="H85" s="125">
        <v>241104</v>
      </c>
      <c r="I85" s="141" t="s">
        <v>168</v>
      </c>
      <c r="J85" s="125">
        <v>1</v>
      </c>
      <c r="K85" s="125" t="s">
        <v>368</v>
      </c>
      <c r="L85" s="125" t="s">
        <v>31</v>
      </c>
      <c r="M85" s="125" t="s">
        <v>369</v>
      </c>
      <c r="N85" s="126" t="s">
        <v>370</v>
      </c>
      <c r="O85" s="125"/>
      <c r="P85" s="125"/>
      <c r="Q85" s="125"/>
      <c r="R85" s="125"/>
      <c r="S85" s="125"/>
      <c r="T85" s="125"/>
      <c r="U85" s="125"/>
      <c r="V85" s="125" t="s">
        <v>42</v>
      </c>
      <c r="W85" s="131">
        <v>1199</v>
      </c>
      <c r="X85" s="132">
        <f t="shared" ref="X85:X90" si="13">W85/58</f>
        <v>20.672413793103448</v>
      </c>
      <c r="Y85" s="129"/>
      <c r="Z85" s="128"/>
      <c r="AA85" s="125"/>
      <c r="AB85" s="130">
        <f t="shared" ref="AB85:AB90" si="14">Y85</f>
        <v>0</v>
      </c>
      <c r="AC85" s="125"/>
      <c r="AD85" s="125"/>
      <c r="AE85" s="125">
        <v>241104</v>
      </c>
      <c r="AF85" s="125" t="s">
        <v>360</v>
      </c>
      <c r="AG85" s="125"/>
      <c r="AH85" s="125"/>
    </row>
    <row r="86" spans="1:38" s="185" customFormat="1" ht="20.100000000000001" customHeight="1">
      <c r="A86" s="211" t="str">
        <f>"A"&amp;TEXT(ROW(A76),"000")</f>
        <v>A076</v>
      </c>
      <c r="B86" s="212" t="s">
        <v>186</v>
      </c>
      <c r="C86" s="212">
        <v>0</v>
      </c>
      <c r="D86" s="212" t="s">
        <v>30</v>
      </c>
      <c r="E86" s="212" t="s">
        <v>192</v>
      </c>
      <c r="F86" s="212" t="s">
        <v>177</v>
      </c>
      <c r="G86" s="212" t="s">
        <v>193</v>
      </c>
      <c r="H86" s="212">
        <v>241004</v>
      </c>
      <c r="I86" s="212" t="s">
        <v>168</v>
      </c>
      <c r="J86" s="212">
        <v>1</v>
      </c>
      <c r="K86" s="212" t="s">
        <v>188</v>
      </c>
      <c r="L86" s="212" t="s">
        <v>31</v>
      </c>
      <c r="M86" s="212" t="s">
        <v>189</v>
      </c>
      <c r="N86" s="213" t="s">
        <v>194</v>
      </c>
      <c r="O86" s="212"/>
      <c r="P86" s="212"/>
      <c r="Q86" s="212" t="s">
        <v>191</v>
      </c>
      <c r="R86" s="212"/>
      <c r="S86" s="212"/>
      <c r="T86" s="212"/>
      <c r="U86" s="212"/>
      <c r="V86" s="212" t="s">
        <v>42</v>
      </c>
      <c r="W86" s="214">
        <v>25195</v>
      </c>
      <c r="X86" s="215">
        <f t="shared" si="13"/>
        <v>434.39655172413791</v>
      </c>
      <c r="Y86" s="216"/>
      <c r="Z86" s="217"/>
      <c r="AA86" s="212" t="s">
        <v>195</v>
      </c>
      <c r="AB86" s="216">
        <f t="shared" si="14"/>
        <v>0</v>
      </c>
      <c r="AC86" s="212" t="s">
        <v>196</v>
      </c>
      <c r="AD86" s="212"/>
      <c r="AE86" s="212" t="s">
        <v>43</v>
      </c>
      <c r="AF86" s="212" t="s">
        <v>35</v>
      </c>
      <c r="AG86" s="212" t="s">
        <v>197</v>
      </c>
      <c r="AH86" s="212">
        <v>241006</v>
      </c>
    </row>
    <row r="87" spans="1:38" s="185" customFormat="1" ht="20.100000000000001" customHeight="1">
      <c r="A87" s="211" t="str">
        <f>"A"&amp;TEXT(ROW(A77),"000")</f>
        <v>A077</v>
      </c>
      <c r="B87" s="210" t="s">
        <v>186</v>
      </c>
      <c r="C87" s="210">
        <v>0</v>
      </c>
      <c r="D87" s="210" t="s">
        <v>132</v>
      </c>
      <c r="E87" s="210" t="s">
        <v>187</v>
      </c>
      <c r="F87" s="210" t="s">
        <v>137</v>
      </c>
      <c r="G87" s="210" t="s">
        <v>53</v>
      </c>
      <c r="H87" s="210">
        <v>241004</v>
      </c>
      <c r="I87" s="229" t="s">
        <v>168</v>
      </c>
      <c r="J87" s="210">
        <v>1</v>
      </c>
      <c r="K87" s="210" t="s">
        <v>188</v>
      </c>
      <c r="L87" s="210" t="s">
        <v>31</v>
      </c>
      <c r="M87" s="210" t="s">
        <v>189</v>
      </c>
      <c r="N87" s="211" t="s">
        <v>190</v>
      </c>
      <c r="O87" s="210"/>
      <c r="P87" s="210"/>
      <c r="Q87" s="210" t="s">
        <v>191</v>
      </c>
      <c r="R87" s="210"/>
      <c r="S87" s="210"/>
      <c r="T87" s="210"/>
      <c r="U87" s="210"/>
      <c r="V87" s="210" t="s">
        <v>42</v>
      </c>
      <c r="W87" s="219">
        <v>25195</v>
      </c>
      <c r="X87" s="220">
        <f t="shared" si="13"/>
        <v>434.39655172413791</v>
      </c>
      <c r="Y87" s="224"/>
      <c r="Z87" s="222"/>
      <c r="AA87" s="210"/>
      <c r="AB87" s="223">
        <f t="shared" si="14"/>
        <v>0</v>
      </c>
      <c r="AC87" s="210"/>
      <c r="AD87" s="210"/>
      <c r="AE87" s="210" t="s">
        <v>43</v>
      </c>
      <c r="AF87" s="210" t="s">
        <v>35</v>
      </c>
      <c r="AG87" s="210"/>
      <c r="AH87" s="210"/>
    </row>
    <row r="88" spans="1:38" s="186" customFormat="1" ht="20.100000000000001" customHeight="1">
      <c r="A88" s="211" t="str">
        <f>"A"&amp;TEXT(ROW(A78),"000")</f>
        <v>A078</v>
      </c>
      <c r="B88" s="210" t="s">
        <v>186</v>
      </c>
      <c r="C88" s="210">
        <v>0</v>
      </c>
      <c r="D88" s="210" t="s">
        <v>30</v>
      </c>
      <c r="E88" s="210" t="s">
        <v>86</v>
      </c>
      <c r="F88" s="210" t="s">
        <v>111</v>
      </c>
      <c r="G88" s="210" t="s">
        <v>53</v>
      </c>
      <c r="H88" s="210">
        <v>241003</v>
      </c>
      <c r="I88" s="228" t="s">
        <v>168</v>
      </c>
      <c r="J88" s="210">
        <v>1</v>
      </c>
      <c r="K88" s="210" t="s">
        <v>198</v>
      </c>
      <c r="L88" s="210" t="s">
        <v>31</v>
      </c>
      <c r="M88" s="210" t="s">
        <v>199</v>
      </c>
      <c r="N88" s="211">
        <v>1.841001730402E+17</v>
      </c>
      <c r="O88" s="210"/>
      <c r="P88" s="210"/>
      <c r="Q88" s="210" t="s">
        <v>191</v>
      </c>
      <c r="R88" s="210"/>
      <c r="S88" s="210"/>
      <c r="T88" s="210"/>
      <c r="U88" s="210"/>
      <c r="V88" s="210" t="s">
        <v>42</v>
      </c>
      <c r="W88" s="219">
        <v>10495</v>
      </c>
      <c r="X88" s="220">
        <f t="shared" si="13"/>
        <v>180.94827586206895</v>
      </c>
      <c r="Y88" s="221"/>
      <c r="Z88" s="222"/>
      <c r="AA88" s="210"/>
      <c r="AB88" s="223">
        <f t="shared" si="14"/>
        <v>0</v>
      </c>
      <c r="AC88" s="210"/>
      <c r="AD88" s="210"/>
      <c r="AE88" s="210" t="s">
        <v>43</v>
      </c>
      <c r="AF88" s="210" t="s">
        <v>35</v>
      </c>
      <c r="AG88" s="210"/>
      <c r="AH88" s="210"/>
      <c r="AI88" s="185"/>
      <c r="AJ88" s="185"/>
      <c r="AK88" s="185"/>
      <c r="AL88" s="185"/>
    </row>
    <row r="89" spans="1:38" s="156" customFormat="1" ht="20.100000000000001" customHeight="1">
      <c r="A89" s="211" t="str">
        <f>"A"&amp;TEXT(ROW(A79),"000")</f>
        <v>A079</v>
      </c>
      <c r="B89" s="210" t="s">
        <v>186</v>
      </c>
      <c r="C89" s="210">
        <v>0</v>
      </c>
      <c r="D89" s="210" t="s">
        <v>30</v>
      </c>
      <c r="E89" s="210" t="s">
        <v>201</v>
      </c>
      <c r="F89" s="210" t="s">
        <v>201</v>
      </c>
      <c r="G89" s="210" t="s">
        <v>53</v>
      </c>
      <c r="H89" s="210">
        <v>241004</v>
      </c>
      <c r="I89" s="228" t="s">
        <v>168</v>
      </c>
      <c r="J89" s="210">
        <v>1</v>
      </c>
      <c r="K89" s="210" t="s">
        <v>188</v>
      </c>
      <c r="L89" s="210" t="s">
        <v>31</v>
      </c>
      <c r="M89" s="210" t="s">
        <v>202</v>
      </c>
      <c r="N89" s="211" t="s">
        <v>203</v>
      </c>
      <c r="O89" s="210"/>
      <c r="P89" s="210"/>
      <c r="Q89" s="210" t="s">
        <v>191</v>
      </c>
      <c r="R89" s="210"/>
      <c r="S89" s="210"/>
      <c r="T89" s="210"/>
      <c r="U89" s="210"/>
      <c r="V89" s="210" t="s">
        <v>42</v>
      </c>
      <c r="W89" s="219">
        <v>22000</v>
      </c>
      <c r="X89" s="220">
        <f t="shared" si="13"/>
        <v>379.31034482758622</v>
      </c>
      <c r="Y89" s="224"/>
      <c r="Z89" s="222"/>
      <c r="AA89" s="210"/>
      <c r="AB89" s="223">
        <f t="shared" si="14"/>
        <v>0</v>
      </c>
      <c r="AC89" s="210"/>
      <c r="AD89" s="210"/>
      <c r="AE89" s="210" t="s">
        <v>43</v>
      </c>
      <c r="AF89" s="210" t="s">
        <v>35</v>
      </c>
      <c r="AG89" s="210"/>
      <c r="AH89" s="210"/>
      <c r="AI89" s="185"/>
      <c r="AJ89" s="185"/>
      <c r="AK89" s="185"/>
      <c r="AL89" s="185"/>
    </row>
    <row r="90" spans="1:38" s="109" customFormat="1" ht="20.100000000000001" customHeight="1">
      <c r="A90" s="211" t="str">
        <f>"A"&amp;TEXT(ROW(A80),"000")</f>
        <v>A080</v>
      </c>
      <c r="B90" s="225" t="s">
        <v>186</v>
      </c>
      <c r="C90" s="210">
        <v>0</v>
      </c>
      <c r="D90" s="210" t="s">
        <v>30</v>
      </c>
      <c r="E90" s="210" t="s">
        <v>192</v>
      </c>
      <c r="F90" s="210" t="s">
        <v>177</v>
      </c>
      <c r="G90" s="210" t="s">
        <v>53</v>
      </c>
      <c r="H90" s="210">
        <v>241004</v>
      </c>
      <c r="I90" s="228" t="s">
        <v>168</v>
      </c>
      <c r="J90" s="210">
        <v>1</v>
      </c>
      <c r="K90" s="225" t="s">
        <v>198</v>
      </c>
      <c r="L90" s="225" t="s">
        <v>204</v>
      </c>
      <c r="M90" s="225" t="s">
        <v>205</v>
      </c>
      <c r="N90" s="226" t="s">
        <v>206</v>
      </c>
      <c r="O90" s="225"/>
      <c r="P90" s="225"/>
      <c r="Q90" s="225" t="s">
        <v>191</v>
      </c>
      <c r="R90" s="225"/>
      <c r="S90" s="225"/>
      <c r="T90" s="225"/>
      <c r="U90" s="225"/>
      <c r="V90" s="225" t="s">
        <v>42</v>
      </c>
      <c r="W90" s="227">
        <v>37998</v>
      </c>
      <c r="X90" s="220">
        <f t="shared" si="13"/>
        <v>655.13793103448279</v>
      </c>
      <c r="Y90" s="221"/>
      <c r="Z90" s="222"/>
      <c r="AA90" s="225"/>
      <c r="AB90" s="223">
        <f t="shared" si="14"/>
        <v>0</v>
      </c>
      <c r="AC90" s="210"/>
      <c r="AD90" s="210"/>
      <c r="AE90" s="210">
        <v>241007</v>
      </c>
      <c r="AF90" s="210" t="s">
        <v>207</v>
      </c>
      <c r="AG90" s="210" t="s">
        <v>208</v>
      </c>
      <c r="AH90" s="210">
        <v>241007</v>
      </c>
      <c r="AI90" s="184"/>
      <c r="AJ90" s="184"/>
      <c r="AK90" s="184"/>
      <c r="AL90" s="184"/>
    </row>
    <row r="91" spans="1:38" s="218" customFormat="1" ht="20.100000000000001" customHeight="1">
      <c r="A91" s="211" t="str">
        <f>"A"&amp;TEXT(ROW(A47),"000")</f>
        <v>A047</v>
      </c>
      <c r="B91" s="229" t="s">
        <v>1113</v>
      </c>
      <c r="C91" s="229"/>
      <c r="D91" s="229" t="s">
        <v>30</v>
      </c>
      <c r="E91" s="229" t="s">
        <v>31</v>
      </c>
      <c r="F91" s="229" t="s">
        <v>111</v>
      </c>
      <c r="G91" s="229" t="s">
        <v>1110</v>
      </c>
      <c r="H91" s="229">
        <v>251213</v>
      </c>
      <c r="I91" s="229" t="s">
        <v>168</v>
      </c>
      <c r="J91" s="229">
        <v>1</v>
      </c>
      <c r="K91" s="229" t="s">
        <v>1114</v>
      </c>
      <c r="L91" s="229" t="s">
        <v>204</v>
      </c>
      <c r="M91" s="229" t="s">
        <v>1115</v>
      </c>
      <c r="N91" s="308" t="s">
        <v>1116</v>
      </c>
      <c r="O91" s="229" t="s">
        <v>200</v>
      </c>
      <c r="P91" s="229" t="s">
        <v>200</v>
      </c>
      <c r="Q91" s="229" t="s">
        <v>200</v>
      </c>
      <c r="R91" s="229" t="s">
        <v>200</v>
      </c>
      <c r="S91" s="229" t="s">
        <v>200</v>
      </c>
      <c r="T91" s="229" t="s">
        <v>200</v>
      </c>
      <c r="U91" s="229" t="s">
        <v>200</v>
      </c>
      <c r="V91" s="229" t="s">
        <v>42</v>
      </c>
      <c r="W91" s="229">
        <v>1300</v>
      </c>
      <c r="X91" s="229"/>
      <c r="Y91" s="229"/>
      <c r="Z91" s="229"/>
      <c r="AA91" s="229"/>
      <c r="AB91" s="229"/>
      <c r="AC91" s="229"/>
      <c r="AD91" s="229"/>
      <c r="AE91" s="229">
        <v>251212</v>
      </c>
      <c r="AF91" s="229" t="s">
        <v>360</v>
      </c>
      <c r="AG91" s="229"/>
      <c r="AH91" s="229"/>
      <c r="AI91" s="185"/>
      <c r="AJ91" s="185"/>
      <c r="AK91" s="185"/>
      <c r="AL91" s="185"/>
    </row>
    <row r="92" spans="1:38" s="218" customFormat="1" ht="20.100000000000001" customHeight="1">
      <c r="A92" s="231" t="str">
        <f>"DESK"&amp;TEXT(ROW(A86),"000")</f>
        <v>DESK086</v>
      </c>
      <c r="B92" s="229" t="s">
        <v>296</v>
      </c>
      <c r="C92" s="229">
        <v>2</v>
      </c>
      <c r="D92" s="229" t="s">
        <v>30</v>
      </c>
      <c r="E92" s="229" t="s">
        <v>31</v>
      </c>
      <c r="F92" s="229" t="s">
        <v>111</v>
      </c>
      <c r="G92" s="229" t="s">
        <v>53</v>
      </c>
      <c r="H92" s="229"/>
      <c r="I92" s="228" t="s">
        <v>168</v>
      </c>
      <c r="J92" s="229">
        <v>1</v>
      </c>
      <c r="K92" s="229" t="s">
        <v>63</v>
      </c>
      <c r="L92" s="229"/>
      <c r="M92" s="229" t="s">
        <v>668</v>
      </c>
      <c r="N92" s="232" t="s">
        <v>669</v>
      </c>
      <c r="O92" s="229"/>
      <c r="P92" s="233" t="s">
        <v>670</v>
      </c>
      <c r="Q92" s="233" t="s">
        <v>671</v>
      </c>
      <c r="R92" s="233" t="s">
        <v>245</v>
      </c>
      <c r="S92" s="233" t="s">
        <v>117</v>
      </c>
      <c r="T92" s="233" t="s">
        <v>118</v>
      </c>
      <c r="U92" s="233" t="s">
        <v>237</v>
      </c>
      <c r="V92" s="233" t="s">
        <v>42</v>
      </c>
      <c r="W92" s="229"/>
      <c r="X92" s="229"/>
      <c r="Y92" s="229"/>
      <c r="Z92" s="229"/>
      <c r="AA92" s="229"/>
      <c r="AB92" s="229"/>
      <c r="AC92" s="229"/>
      <c r="AD92" s="229"/>
      <c r="AE92" s="229">
        <v>221017</v>
      </c>
      <c r="AF92" s="229"/>
      <c r="AG92" s="229"/>
      <c r="AH92" s="229"/>
      <c r="AI92" s="185"/>
      <c r="AJ92" s="185"/>
      <c r="AK92" s="185"/>
      <c r="AL92" s="185"/>
    </row>
    <row r="93" spans="1:38" s="303" customFormat="1" ht="20.100000000000001" customHeight="1">
      <c r="A93" s="229" t="str">
        <f>"GPU"&amp;TEXT(ROW(A42),"000")</f>
        <v>GPU042</v>
      </c>
      <c r="B93" s="229" t="s">
        <v>977</v>
      </c>
      <c r="C93" s="229"/>
      <c r="D93" s="229" t="s">
        <v>30</v>
      </c>
      <c r="E93" s="229" t="s">
        <v>86</v>
      </c>
      <c r="F93" s="229" t="s">
        <v>706</v>
      </c>
      <c r="G93" s="229" t="s">
        <v>979</v>
      </c>
      <c r="H93" s="229" t="s">
        <v>200</v>
      </c>
      <c r="I93" s="229" t="s">
        <v>168</v>
      </c>
      <c r="J93" s="229">
        <v>1</v>
      </c>
      <c r="K93" s="229" t="s">
        <v>980</v>
      </c>
      <c r="L93" s="229" t="s">
        <v>200</v>
      </c>
      <c r="M93" s="233" t="s">
        <v>981</v>
      </c>
      <c r="N93" s="295" t="s">
        <v>982</v>
      </c>
      <c r="O93" s="229"/>
      <c r="P93" s="229"/>
      <c r="Q93" s="229"/>
      <c r="R93" s="229"/>
      <c r="S93" s="229"/>
      <c r="T93" s="229"/>
      <c r="U93" s="229"/>
      <c r="V93" s="295" t="s">
        <v>42</v>
      </c>
      <c r="W93" s="296">
        <v>14900</v>
      </c>
      <c r="X93" s="297">
        <v>14900</v>
      </c>
      <c r="Y93" s="297">
        <v>285.49</v>
      </c>
      <c r="Z93" s="229"/>
      <c r="AA93" s="229"/>
      <c r="AB93" s="229"/>
      <c r="AC93" s="229"/>
      <c r="AD93" s="229"/>
      <c r="AE93" s="233">
        <v>220930</v>
      </c>
      <c r="AF93" s="233" t="s">
        <v>715</v>
      </c>
      <c r="AG93" s="233" t="s">
        <v>815</v>
      </c>
      <c r="AH93" s="229"/>
      <c r="AI93" s="259"/>
      <c r="AJ93" s="259"/>
      <c r="AK93" s="259"/>
      <c r="AL93" s="259"/>
    </row>
    <row r="94" spans="1:38" s="218" customFormat="1" ht="20.100000000000001" customHeight="1">
      <c r="A94" s="210" t="str">
        <f>"KB"&amp;TEXT(ROW(A42),"000")</f>
        <v>KB042</v>
      </c>
      <c r="B94" s="229" t="s">
        <v>567</v>
      </c>
      <c r="C94" s="229">
        <v>1</v>
      </c>
      <c r="D94" s="229" t="s">
        <v>30</v>
      </c>
      <c r="E94" s="229" t="s">
        <v>86</v>
      </c>
      <c r="F94" s="229" t="s">
        <v>111</v>
      </c>
      <c r="G94" s="229" t="s">
        <v>53</v>
      </c>
      <c r="H94" s="229" t="s">
        <v>200</v>
      </c>
      <c r="I94" s="228" t="s">
        <v>168</v>
      </c>
      <c r="J94" s="229">
        <v>1</v>
      </c>
      <c r="K94" s="229" t="s">
        <v>694</v>
      </c>
      <c r="L94" s="229" t="s">
        <v>200</v>
      </c>
      <c r="M94" s="229" t="s">
        <v>200</v>
      </c>
      <c r="N94" s="229" t="s">
        <v>695</v>
      </c>
      <c r="O94" s="229"/>
      <c r="P94" s="229"/>
      <c r="Q94" s="229"/>
      <c r="R94" s="229"/>
      <c r="S94" s="229"/>
      <c r="T94" s="229"/>
      <c r="U94" s="229"/>
      <c r="V94" s="229" t="s">
        <v>42</v>
      </c>
      <c r="W94" s="229"/>
      <c r="X94" s="229"/>
      <c r="Y94" s="229"/>
      <c r="Z94" s="229"/>
      <c r="AA94" s="229"/>
      <c r="AB94" s="229"/>
      <c r="AC94" s="229"/>
      <c r="AD94" s="229"/>
      <c r="AE94" s="229" t="s">
        <v>675</v>
      </c>
      <c r="AF94" s="229" t="s">
        <v>35</v>
      </c>
      <c r="AG94" s="229"/>
      <c r="AH94" s="229"/>
    </row>
    <row r="95" spans="1:38" s="185" customFormat="1" ht="20.100000000000001" customHeight="1">
      <c r="A95" s="229" t="str">
        <f>"M"&amp;TEXT(ROW(A77),"000")</f>
        <v>M077</v>
      </c>
      <c r="B95" s="210" t="s">
        <v>36</v>
      </c>
      <c r="C95" s="229">
        <v>15</v>
      </c>
      <c r="D95" s="229" t="s">
        <v>30</v>
      </c>
      <c r="E95" s="229" t="s">
        <v>86</v>
      </c>
      <c r="F95" s="229" t="s">
        <v>111</v>
      </c>
      <c r="G95" s="229" t="s">
        <v>674</v>
      </c>
      <c r="H95" s="229"/>
      <c r="I95" s="228" t="s">
        <v>168</v>
      </c>
      <c r="J95" s="229">
        <v>1</v>
      </c>
      <c r="K95" s="229" t="s">
        <v>151</v>
      </c>
      <c r="L95" s="229"/>
      <c r="M95" s="229" t="s">
        <v>152</v>
      </c>
      <c r="N95" s="258"/>
      <c r="O95" s="229" t="s">
        <v>153</v>
      </c>
      <c r="P95" s="229"/>
      <c r="Q95" s="229" t="s">
        <v>41</v>
      </c>
      <c r="R95" s="229"/>
      <c r="S95" s="229"/>
      <c r="T95" s="229"/>
      <c r="U95" s="229"/>
      <c r="V95" s="229" t="s">
        <v>42</v>
      </c>
      <c r="W95" s="229"/>
      <c r="X95" s="229"/>
      <c r="Y95" s="229"/>
      <c r="Z95" s="229"/>
      <c r="AA95" s="229"/>
      <c r="AB95" s="229"/>
      <c r="AC95" s="229"/>
      <c r="AD95" s="229"/>
      <c r="AE95" s="229" t="s">
        <v>675</v>
      </c>
      <c r="AF95" s="229" t="s">
        <v>35</v>
      </c>
      <c r="AG95" s="229"/>
      <c r="AH95" s="229"/>
    </row>
    <row r="96" spans="1:38" s="185" customFormat="1" ht="20.100000000000001" customHeight="1">
      <c r="A96" s="211" t="str">
        <f>"NA"&amp;TEXT(ROW(A42),"000")</f>
        <v>NA042</v>
      </c>
      <c r="B96" s="210" t="s">
        <v>85</v>
      </c>
      <c r="C96" s="210">
        <v>0</v>
      </c>
      <c r="D96" s="228" t="s">
        <v>30</v>
      </c>
      <c r="E96" s="210" t="s">
        <v>86</v>
      </c>
      <c r="F96" s="210" t="s">
        <v>111</v>
      </c>
      <c r="G96" s="210" t="s">
        <v>53</v>
      </c>
      <c r="H96" s="210">
        <v>241007</v>
      </c>
      <c r="I96" s="228" t="s">
        <v>168</v>
      </c>
      <c r="J96" s="210">
        <v>1</v>
      </c>
      <c r="K96" s="210" t="s">
        <v>87</v>
      </c>
      <c r="L96" s="210" t="s">
        <v>31</v>
      </c>
      <c r="M96" s="210" t="s">
        <v>88</v>
      </c>
      <c r="N96" s="211" t="s">
        <v>89</v>
      </c>
      <c r="O96" s="210"/>
      <c r="P96" s="210"/>
      <c r="Q96" s="210" t="s">
        <v>90</v>
      </c>
      <c r="R96" s="210"/>
      <c r="S96" s="210"/>
      <c r="T96" s="210"/>
      <c r="U96" s="210"/>
      <c r="V96" s="210" t="s">
        <v>42</v>
      </c>
      <c r="W96" s="219">
        <v>389</v>
      </c>
      <c r="X96" s="220">
        <f>W96/58</f>
        <v>6.7068965517241379</v>
      </c>
      <c r="Y96" s="221"/>
      <c r="Z96" s="222"/>
      <c r="AA96" s="210"/>
      <c r="AB96" s="223">
        <f>Y96</f>
        <v>0</v>
      </c>
      <c r="AC96" s="210"/>
      <c r="AD96" s="210"/>
      <c r="AE96" s="210">
        <v>230828</v>
      </c>
      <c r="AF96" s="210" t="s">
        <v>35</v>
      </c>
      <c r="AG96" s="210"/>
      <c r="AH96" s="210"/>
    </row>
    <row r="97" spans="1:38" s="218" customFormat="1" ht="20.100000000000001" customHeight="1">
      <c r="A97" s="229" t="str">
        <f>"RAM"&amp;TEXT(ROW(A14),"000")</f>
        <v>RAM014</v>
      </c>
      <c r="B97" s="229" t="s">
        <v>579</v>
      </c>
      <c r="C97" s="229"/>
      <c r="D97" s="229" t="s">
        <v>30</v>
      </c>
      <c r="E97" s="229" t="s">
        <v>31</v>
      </c>
      <c r="F97" s="229" t="s">
        <v>111</v>
      </c>
      <c r="G97" s="229" t="s">
        <v>1110</v>
      </c>
      <c r="H97" s="229">
        <v>251213</v>
      </c>
      <c r="I97" s="229" t="s">
        <v>168</v>
      </c>
      <c r="J97" s="229">
        <v>2</v>
      </c>
      <c r="K97" s="229" t="s">
        <v>1111</v>
      </c>
      <c r="L97" s="229" t="s">
        <v>204</v>
      </c>
      <c r="M97" s="229" t="s">
        <v>200</v>
      </c>
      <c r="N97" s="308" t="s">
        <v>1112</v>
      </c>
      <c r="O97" s="229" t="s">
        <v>200</v>
      </c>
      <c r="P97" s="229" t="s">
        <v>200</v>
      </c>
      <c r="Q97" s="229" t="s">
        <v>200</v>
      </c>
      <c r="R97" s="229" t="s">
        <v>200</v>
      </c>
      <c r="S97" s="229" t="s">
        <v>131</v>
      </c>
      <c r="T97" s="229" t="s">
        <v>200</v>
      </c>
      <c r="U97" s="229" t="s">
        <v>200</v>
      </c>
      <c r="V97" s="229" t="s">
        <v>42</v>
      </c>
      <c r="W97" s="229">
        <v>11660</v>
      </c>
      <c r="X97" s="229"/>
      <c r="Y97" s="229"/>
      <c r="Z97" s="229"/>
      <c r="AA97" s="229"/>
      <c r="AB97" s="229"/>
      <c r="AC97" s="229"/>
      <c r="AD97" s="229"/>
      <c r="AE97" s="229">
        <v>251212</v>
      </c>
      <c r="AF97" s="229" t="s">
        <v>360</v>
      </c>
      <c r="AG97" s="229"/>
      <c r="AH97" s="229"/>
      <c r="AI97" s="185"/>
      <c r="AJ97" s="185"/>
      <c r="AK97" s="185"/>
      <c r="AL97" s="185"/>
    </row>
    <row r="98" spans="1:38" s="218" customFormat="1" ht="20.100000000000001" customHeight="1">
      <c r="A98" s="229" t="e">
        <f>"SSD"&amp;TEXT(ROW(#REF!),"000")</f>
        <v>#REF!</v>
      </c>
      <c r="B98" s="228" t="s">
        <v>395</v>
      </c>
      <c r="C98" s="229">
        <v>1</v>
      </c>
      <c r="D98" s="210" t="s">
        <v>30</v>
      </c>
      <c r="E98" s="229" t="s">
        <v>31</v>
      </c>
      <c r="F98" s="228" t="s">
        <v>111</v>
      </c>
      <c r="G98" s="228" t="s">
        <v>625</v>
      </c>
      <c r="H98" s="229">
        <v>251112</v>
      </c>
      <c r="I98" s="228" t="s">
        <v>168</v>
      </c>
      <c r="J98" s="229">
        <v>1</v>
      </c>
      <c r="K98" s="229" t="s">
        <v>44</v>
      </c>
      <c r="L98" s="228" t="s">
        <v>31</v>
      </c>
      <c r="M98" s="229"/>
      <c r="N98" s="229"/>
      <c r="O98" s="229"/>
      <c r="P98" s="229"/>
      <c r="Q98" s="229"/>
      <c r="R98" s="229"/>
      <c r="S98" s="229"/>
      <c r="T98" s="228" t="s">
        <v>118</v>
      </c>
      <c r="U98" s="229" t="s">
        <v>620</v>
      </c>
      <c r="V98" s="229" t="s">
        <v>42</v>
      </c>
      <c r="W98" s="229"/>
      <c r="X98" s="229"/>
      <c r="Y98" s="229"/>
      <c r="Z98" s="229"/>
      <c r="AA98" s="229"/>
      <c r="AB98" s="229"/>
      <c r="AC98" s="229"/>
      <c r="AD98" s="229"/>
      <c r="AE98" s="229">
        <v>251112</v>
      </c>
      <c r="AF98" s="229" t="s">
        <v>360</v>
      </c>
      <c r="AG98" s="229"/>
      <c r="AH98" s="229"/>
      <c r="AI98" s="185"/>
      <c r="AJ98" s="185"/>
      <c r="AK98" s="185"/>
      <c r="AL98" s="185"/>
    </row>
    <row r="99" spans="1:38" s="186" customFormat="1" ht="20.100000000000001" customHeight="1">
      <c r="A99" s="229" t="str">
        <f>"SSD"&amp;TEXT(ROW(A1),"000")</f>
        <v>SSD001</v>
      </c>
      <c r="B99" s="228" t="s">
        <v>395</v>
      </c>
      <c r="C99" s="229">
        <v>2</v>
      </c>
      <c r="D99" s="210" t="s">
        <v>30</v>
      </c>
      <c r="E99" s="229" t="s">
        <v>31</v>
      </c>
      <c r="F99" s="228" t="s">
        <v>111</v>
      </c>
      <c r="G99" s="228" t="s">
        <v>625</v>
      </c>
      <c r="H99" s="229">
        <v>251112</v>
      </c>
      <c r="I99" s="228" t="s">
        <v>168</v>
      </c>
      <c r="J99" s="229">
        <v>1</v>
      </c>
      <c r="K99" s="229" t="s">
        <v>44</v>
      </c>
      <c r="L99" s="228" t="s">
        <v>31</v>
      </c>
      <c r="M99" s="229"/>
      <c r="N99" s="229"/>
      <c r="O99" s="229"/>
      <c r="P99" s="229"/>
      <c r="Q99" s="229"/>
      <c r="R99" s="229"/>
      <c r="S99" s="229"/>
      <c r="T99" s="228" t="s">
        <v>118</v>
      </c>
      <c r="U99" s="229" t="s">
        <v>620</v>
      </c>
      <c r="V99" s="229" t="s">
        <v>42</v>
      </c>
      <c r="W99" s="229"/>
      <c r="X99" s="229"/>
      <c r="Y99" s="229"/>
      <c r="Z99" s="229"/>
      <c r="AA99" s="229"/>
      <c r="AB99" s="229"/>
      <c r="AC99" s="229"/>
      <c r="AD99" s="229"/>
      <c r="AE99" s="229">
        <v>251112</v>
      </c>
      <c r="AF99" s="229" t="s">
        <v>360</v>
      </c>
      <c r="AG99" s="229"/>
      <c r="AH99" s="229"/>
      <c r="AI99" s="185"/>
      <c r="AJ99" s="185"/>
      <c r="AK99" s="185"/>
      <c r="AL99" s="185"/>
    </row>
    <row r="100" spans="1:38" s="185" customFormat="1" ht="20.100000000000001" customHeight="1">
      <c r="A100" s="229" t="str">
        <f>"SSD"&amp;TEXT(ROW(A2),"000")</f>
        <v>SSD002</v>
      </c>
      <c r="B100" s="228" t="s">
        <v>395</v>
      </c>
      <c r="C100" s="229">
        <v>3</v>
      </c>
      <c r="D100" s="210" t="s">
        <v>30</v>
      </c>
      <c r="E100" s="229" t="s">
        <v>31</v>
      </c>
      <c r="F100" s="228" t="s">
        <v>111</v>
      </c>
      <c r="G100" s="228" t="s">
        <v>625</v>
      </c>
      <c r="H100" s="229">
        <v>251112</v>
      </c>
      <c r="I100" s="228" t="s">
        <v>168</v>
      </c>
      <c r="J100" s="229">
        <v>1</v>
      </c>
      <c r="K100" s="229" t="s">
        <v>44</v>
      </c>
      <c r="L100" s="228" t="s">
        <v>31</v>
      </c>
      <c r="M100" s="229"/>
      <c r="N100" s="229"/>
      <c r="O100" s="229"/>
      <c r="P100" s="229"/>
      <c r="Q100" s="229"/>
      <c r="R100" s="229"/>
      <c r="S100" s="229"/>
      <c r="T100" s="228" t="s">
        <v>118</v>
      </c>
      <c r="U100" s="229" t="s">
        <v>74</v>
      </c>
      <c r="V100" s="229" t="s">
        <v>42</v>
      </c>
      <c r="W100" s="229"/>
      <c r="X100" s="229"/>
      <c r="Y100" s="229"/>
      <c r="Z100" s="229"/>
      <c r="AA100" s="229"/>
      <c r="AB100" s="229"/>
      <c r="AC100" s="229"/>
      <c r="AD100" s="229"/>
      <c r="AE100" s="229">
        <v>251112</v>
      </c>
      <c r="AF100" s="229" t="s">
        <v>360</v>
      </c>
      <c r="AG100" s="229"/>
      <c r="AH100" s="229"/>
    </row>
    <row r="101" spans="1:38" s="259" customFormat="1" ht="20.100000000000001" customHeight="1">
      <c r="A101" s="229" t="str">
        <f>"SSD"&amp;TEXT(ROW(A3),"000")</f>
        <v>SSD003</v>
      </c>
      <c r="B101" s="228" t="s">
        <v>395</v>
      </c>
      <c r="C101" s="229">
        <v>4</v>
      </c>
      <c r="D101" s="210" t="s">
        <v>30</v>
      </c>
      <c r="E101" s="229" t="s">
        <v>31</v>
      </c>
      <c r="F101" s="228" t="s">
        <v>111</v>
      </c>
      <c r="G101" s="228" t="s">
        <v>625</v>
      </c>
      <c r="H101" s="229">
        <v>251112</v>
      </c>
      <c r="I101" s="228" t="s">
        <v>168</v>
      </c>
      <c r="J101" s="229">
        <v>1</v>
      </c>
      <c r="K101" s="229" t="s">
        <v>44</v>
      </c>
      <c r="L101" s="228" t="s">
        <v>31</v>
      </c>
      <c r="M101" s="229"/>
      <c r="N101" s="229"/>
      <c r="O101" s="229"/>
      <c r="P101" s="229"/>
      <c r="Q101" s="229"/>
      <c r="R101" s="229"/>
      <c r="S101" s="229"/>
      <c r="T101" s="228" t="s">
        <v>118</v>
      </c>
      <c r="U101" s="229" t="s">
        <v>74</v>
      </c>
      <c r="V101" s="229" t="s">
        <v>42</v>
      </c>
      <c r="W101" s="229"/>
      <c r="X101" s="229"/>
      <c r="Y101" s="229"/>
      <c r="Z101" s="229"/>
      <c r="AA101" s="229"/>
      <c r="AB101" s="229"/>
      <c r="AC101" s="229"/>
      <c r="AD101" s="229"/>
      <c r="AE101" s="229">
        <v>251112</v>
      </c>
      <c r="AF101" s="229" t="s">
        <v>360</v>
      </c>
      <c r="AG101" s="229"/>
      <c r="AH101" s="229"/>
    </row>
    <row r="102" spans="1:38" s="218" customFormat="1" ht="20.100000000000001" customHeight="1">
      <c r="A102" s="211" t="str">
        <f>"WR"&amp;TEXT(ROW(A31),"000")</f>
        <v>WR031</v>
      </c>
      <c r="B102" s="225" t="s">
        <v>223</v>
      </c>
      <c r="C102" s="210">
        <v>0</v>
      </c>
      <c r="D102" s="210" t="s">
        <v>30</v>
      </c>
      <c r="E102" s="210" t="s">
        <v>86</v>
      </c>
      <c r="F102" s="210" t="s">
        <v>111</v>
      </c>
      <c r="G102" s="210" t="s">
        <v>53</v>
      </c>
      <c r="H102" s="210"/>
      <c r="I102" s="228" t="s">
        <v>168</v>
      </c>
      <c r="J102" s="210">
        <v>1</v>
      </c>
      <c r="K102" s="225" t="s">
        <v>87</v>
      </c>
      <c r="L102" s="225" t="s">
        <v>31</v>
      </c>
      <c r="M102" s="225" t="s">
        <v>224</v>
      </c>
      <c r="N102" s="226">
        <v>2224282000516</v>
      </c>
      <c r="O102" s="225"/>
      <c r="P102" s="225"/>
      <c r="Q102" s="225"/>
      <c r="R102" s="225"/>
      <c r="S102" s="225"/>
      <c r="T102" s="225"/>
      <c r="U102" s="225"/>
      <c r="V102" s="225" t="s">
        <v>42</v>
      </c>
      <c r="W102" s="227">
        <v>3190</v>
      </c>
      <c r="X102" s="220">
        <f t="shared" ref="X102:X112" si="15">W102/58</f>
        <v>55</v>
      </c>
      <c r="Y102" s="221"/>
      <c r="Z102" s="222"/>
      <c r="AA102" s="225"/>
      <c r="AB102" s="223">
        <f>Y102</f>
        <v>0</v>
      </c>
      <c r="AC102" s="210"/>
      <c r="AD102" s="210"/>
      <c r="AE102" s="210">
        <v>220421</v>
      </c>
      <c r="AF102" s="210" t="s">
        <v>35</v>
      </c>
      <c r="AG102" s="210"/>
      <c r="AH102" s="210"/>
      <c r="AI102" s="185"/>
      <c r="AJ102" s="185"/>
      <c r="AK102" s="185"/>
      <c r="AL102" s="185"/>
    </row>
    <row r="103" spans="1:38" s="218" customFormat="1" ht="20.100000000000001" customHeight="1">
      <c r="A103" s="170" t="str">
        <f>"L"&amp;TEXT(ROW(A95),"000")</f>
        <v>L095</v>
      </c>
      <c r="B103" s="171" t="s">
        <v>110</v>
      </c>
      <c r="C103" s="171">
        <v>19</v>
      </c>
      <c r="D103" s="171" t="s">
        <v>288</v>
      </c>
      <c r="E103" s="171" t="s">
        <v>289</v>
      </c>
      <c r="F103" s="171" t="s">
        <v>160</v>
      </c>
      <c r="G103" s="171" t="s">
        <v>53</v>
      </c>
      <c r="H103" s="171"/>
      <c r="I103" s="171" t="s">
        <v>168</v>
      </c>
      <c r="J103" s="171">
        <v>1</v>
      </c>
      <c r="K103" s="171" t="s">
        <v>251</v>
      </c>
      <c r="L103" s="171" t="s">
        <v>31</v>
      </c>
      <c r="M103" s="171" t="s">
        <v>290</v>
      </c>
      <c r="N103" s="172" t="s">
        <v>291</v>
      </c>
      <c r="O103" s="171" t="s">
        <v>254</v>
      </c>
      <c r="P103" s="173" t="s">
        <v>292</v>
      </c>
      <c r="Q103" s="171" t="s">
        <v>293</v>
      </c>
      <c r="R103" s="171" t="s">
        <v>283</v>
      </c>
      <c r="S103" s="171" t="s">
        <v>294</v>
      </c>
      <c r="T103" s="171" t="s">
        <v>73</v>
      </c>
      <c r="U103" s="171" t="s">
        <v>295</v>
      </c>
      <c r="V103" s="171" t="s">
        <v>42</v>
      </c>
      <c r="W103" s="174">
        <v>16145</v>
      </c>
      <c r="X103" s="175">
        <f t="shared" si="15"/>
        <v>278.36206896551727</v>
      </c>
      <c r="Y103" s="176"/>
      <c r="Z103" s="175"/>
      <c r="AA103" s="171"/>
      <c r="AB103" s="174">
        <f>Y103</f>
        <v>0</v>
      </c>
      <c r="AC103" s="171"/>
      <c r="AD103" s="171"/>
      <c r="AE103" s="171">
        <v>221214</v>
      </c>
      <c r="AF103" s="171" t="s">
        <v>35</v>
      </c>
      <c r="AG103" s="171"/>
      <c r="AH103" s="171"/>
    </row>
    <row r="104" spans="1:38" s="156" customFormat="1" ht="20.100000000000001" customHeight="1">
      <c r="A104" s="170" t="str">
        <f>"L"&amp;TEXT(ROW(A96),"000")</f>
        <v>L096</v>
      </c>
      <c r="B104" s="177" t="s">
        <v>110</v>
      </c>
      <c r="C104" s="177">
        <v>20</v>
      </c>
      <c r="D104" s="177" t="s">
        <v>288</v>
      </c>
      <c r="E104" s="177" t="s">
        <v>447</v>
      </c>
      <c r="F104" s="177" t="s">
        <v>160</v>
      </c>
      <c r="G104" s="177" t="s">
        <v>53</v>
      </c>
      <c r="H104" s="177">
        <v>250129</v>
      </c>
      <c r="I104" s="177" t="s">
        <v>168</v>
      </c>
      <c r="J104" s="177">
        <v>1</v>
      </c>
      <c r="K104" s="178" t="s">
        <v>63</v>
      </c>
      <c r="L104" s="177" t="s">
        <v>284</v>
      </c>
      <c r="M104" s="178" t="s">
        <v>448</v>
      </c>
      <c r="N104" s="178" t="s">
        <v>449</v>
      </c>
      <c r="O104" s="177" t="s">
        <v>254</v>
      </c>
      <c r="P104" s="179" t="s">
        <v>450</v>
      </c>
      <c r="Q104" s="177" t="s">
        <v>451</v>
      </c>
      <c r="R104" s="177" t="s">
        <v>283</v>
      </c>
      <c r="S104" s="177" t="s">
        <v>131</v>
      </c>
      <c r="T104" s="177" t="s">
        <v>118</v>
      </c>
      <c r="U104" s="177" t="s">
        <v>452</v>
      </c>
      <c r="V104" s="177" t="s">
        <v>42</v>
      </c>
      <c r="W104" s="180">
        <v>0</v>
      </c>
      <c r="X104" s="181">
        <f t="shared" si="15"/>
        <v>0</v>
      </c>
      <c r="Y104" s="180"/>
      <c r="Z104" s="182"/>
      <c r="AA104" s="177"/>
      <c r="AB104" s="183"/>
      <c r="AC104" s="177"/>
      <c r="AD104" s="177"/>
      <c r="AE104" s="177">
        <v>250129</v>
      </c>
      <c r="AF104" s="177" t="s">
        <v>35</v>
      </c>
      <c r="AG104" s="177" t="s">
        <v>453</v>
      </c>
      <c r="AH104" s="177">
        <v>250212</v>
      </c>
      <c r="AI104" s="185"/>
      <c r="AJ104" s="185"/>
      <c r="AK104" s="185"/>
      <c r="AL104" s="185"/>
    </row>
    <row r="105" spans="1:38" s="218" customFormat="1" ht="20.100000000000001" customHeight="1">
      <c r="A105" s="19" t="str">
        <f>"CAT6"&amp;TEXT(ROW(A102),"000")</f>
        <v>CAT6102</v>
      </c>
      <c r="B105" s="19" t="s">
        <v>384</v>
      </c>
      <c r="C105" s="19">
        <v>0</v>
      </c>
      <c r="D105" s="25" t="s">
        <v>30</v>
      </c>
      <c r="E105" s="25" t="s">
        <v>31</v>
      </c>
      <c r="F105" s="25" t="s">
        <v>111</v>
      </c>
      <c r="G105" s="37" t="s">
        <v>53</v>
      </c>
      <c r="H105" s="37">
        <v>241104</v>
      </c>
      <c r="I105" s="19" t="s">
        <v>32</v>
      </c>
      <c r="J105" s="19">
        <v>1</v>
      </c>
      <c r="K105" s="19" t="s">
        <v>385</v>
      </c>
      <c r="L105" s="19" t="s">
        <v>31</v>
      </c>
      <c r="M105" s="19" t="s">
        <v>386</v>
      </c>
      <c r="N105" s="38"/>
      <c r="O105" s="19"/>
      <c r="P105" s="19"/>
      <c r="Q105" s="19"/>
      <c r="R105" s="19"/>
      <c r="S105" s="19"/>
      <c r="T105" s="19"/>
      <c r="U105" s="19"/>
      <c r="V105" s="19" t="s">
        <v>42</v>
      </c>
      <c r="W105" s="39">
        <v>3500</v>
      </c>
      <c r="X105" s="27">
        <f t="shared" si="15"/>
        <v>60.344827586206897</v>
      </c>
      <c r="Y105" s="40"/>
      <c r="Z105" s="41"/>
      <c r="AA105" s="19"/>
      <c r="AB105" s="30">
        <f t="shared" ref="AB105:AB112" si="16">Y105</f>
        <v>0</v>
      </c>
      <c r="AC105" s="37"/>
      <c r="AD105" s="37"/>
      <c r="AE105" s="25">
        <v>241104</v>
      </c>
      <c r="AF105" s="19" t="s">
        <v>360</v>
      </c>
      <c r="AG105" s="19"/>
      <c r="AH105" s="25"/>
    </row>
    <row r="106" spans="1:38" s="186" customFormat="1" ht="20.100000000000001" customHeight="1">
      <c r="A106" s="24" t="str">
        <f>"24SW"&amp;TEXT(ROW(A102),"000")</f>
        <v>24SW102</v>
      </c>
      <c r="B106" s="25" t="s">
        <v>96</v>
      </c>
      <c r="C106" s="25">
        <v>0</v>
      </c>
      <c r="D106" s="19" t="s">
        <v>30</v>
      </c>
      <c r="E106" s="25" t="s">
        <v>31</v>
      </c>
      <c r="F106" s="25" t="s">
        <v>111</v>
      </c>
      <c r="G106" s="25" t="s">
        <v>53</v>
      </c>
      <c r="H106" s="25"/>
      <c r="I106" s="25" t="s">
        <v>32</v>
      </c>
      <c r="J106" s="25">
        <v>1</v>
      </c>
      <c r="K106" s="25" t="s">
        <v>87</v>
      </c>
      <c r="L106" s="25" t="s">
        <v>31</v>
      </c>
      <c r="M106" s="25" t="s">
        <v>97</v>
      </c>
      <c r="N106" s="24" t="s">
        <v>98</v>
      </c>
      <c r="O106" s="25"/>
      <c r="P106" s="25"/>
      <c r="Q106" s="25" t="s">
        <v>94</v>
      </c>
      <c r="R106" s="25"/>
      <c r="S106" s="25"/>
      <c r="T106" s="25"/>
      <c r="U106" s="25"/>
      <c r="V106" s="25" t="s">
        <v>42</v>
      </c>
      <c r="W106" s="26">
        <v>5380</v>
      </c>
      <c r="X106" s="27">
        <f t="shared" si="15"/>
        <v>92.758620689655174</v>
      </c>
      <c r="Y106" s="28"/>
      <c r="Z106" s="31"/>
      <c r="AA106" s="25"/>
      <c r="AB106" s="30">
        <f t="shared" si="16"/>
        <v>0</v>
      </c>
      <c r="AC106" s="25"/>
      <c r="AD106" s="25"/>
      <c r="AE106" s="25">
        <v>230328</v>
      </c>
      <c r="AF106" s="25" t="s">
        <v>35</v>
      </c>
      <c r="AG106" s="25"/>
      <c r="AH106" s="25"/>
      <c r="AI106" s="185"/>
      <c r="AJ106" s="185"/>
      <c r="AK106" s="185"/>
      <c r="AL106" s="185"/>
    </row>
    <row r="107" spans="1:38" s="156" customFormat="1" ht="20.100000000000001" customHeight="1">
      <c r="A107" s="24" t="str">
        <f>"24SW"&amp;TEXT(ROW(A103),"000")</f>
        <v>24SW103</v>
      </c>
      <c r="B107" s="25" t="s">
        <v>96</v>
      </c>
      <c r="C107" s="25">
        <v>0</v>
      </c>
      <c r="D107" s="19" t="s">
        <v>30</v>
      </c>
      <c r="E107" s="25" t="s">
        <v>31</v>
      </c>
      <c r="F107" s="25" t="s">
        <v>111</v>
      </c>
      <c r="G107" s="25" t="s">
        <v>99</v>
      </c>
      <c r="H107" s="25"/>
      <c r="I107" s="25" t="s">
        <v>32</v>
      </c>
      <c r="J107" s="25">
        <v>1</v>
      </c>
      <c r="K107" s="25" t="s">
        <v>100</v>
      </c>
      <c r="L107" s="25" t="s">
        <v>31</v>
      </c>
      <c r="M107" s="25" t="s">
        <v>101</v>
      </c>
      <c r="N107" s="24" t="s">
        <v>102</v>
      </c>
      <c r="O107" s="25"/>
      <c r="P107" s="25"/>
      <c r="Q107" s="25" t="s">
        <v>94</v>
      </c>
      <c r="R107" s="25"/>
      <c r="S107" s="25"/>
      <c r="T107" s="25"/>
      <c r="U107" s="25"/>
      <c r="V107" s="25" t="s">
        <v>42</v>
      </c>
      <c r="W107" s="26">
        <v>3640</v>
      </c>
      <c r="X107" s="27">
        <f t="shared" si="15"/>
        <v>62.758620689655174</v>
      </c>
      <c r="Y107" s="28"/>
      <c r="Z107" s="31"/>
      <c r="AA107" s="25"/>
      <c r="AB107" s="30">
        <f t="shared" si="16"/>
        <v>0</v>
      </c>
      <c r="AC107" s="25"/>
      <c r="AD107" s="25"/>
      <c r="AE107" s="25">
        <v>230328</v>
      </c>
      <c r="AF107" s="25" t="s">
        <v>35</v>
      </c>
      <c r="AG107" s="25"/>
      <c r="AH107" s="25"/>
      <c r="AI107" s="185"/>
      <c r="AJ107" s="185"/>
      <c r="AK107" s="185"/>
      <c r="AL107" s="185"/>
    </row>
    <row r="108" spans="1:38" s="156" customFormat="1" ht="20.100000000000001" customHeight="1">
      <c r="A108" s="24" t="str">
        <f>"8SW"&amp;TEXT(ROW(A100),"000")</f>
        <v>8SW100</v>
      </c>
      <c r="B108" s="25" t="s">
        <v>91</v>
      </c>
      <c r="C108" s="25">
        <v>0</v>
      </c>
      <c r="D108" s="19" t="s">
        <v>30</v>
      </c>
      <c r="E108" s="25" t="s">
        <v>31</v>
      </c>
      <c r="F108" s="25" t="s">
        <v>111</v>
      </c>
      <c r="G108" s="25" t="s">
        <v>53</v>
      </c>
      <c r="H108" s="25"/>
      <c r="I108" s="25" t="s">
        <v>32</v>
      </c>
      <c r="J108" s="25">
        <v>1</v>
      </c>
      <c r="K108" s="25" t="s">
        <v>87</v>
      </c>
      <c r="L108" s="25" t="s">
        <v>31</v>
      </c>
      <c r="M108" s="25" t="s">
        <v>92</v>
      </c>
      <c r="N108" s="24" t="s">
        <v>93</v>
      </c>
      <c r="O108" s="25"/>
      <c r="P108" s="25"/>
      <c r="Q108" s="25" t="s">
        <v>94</v>
      </c>
      <c r="R108" s="25"/>
      <c r="S108" s="25"/>
      <c r="T108" s="25"/>
      <c r="U108" s="25"/>
      <c r="V108" s="25" t="s">
        <v>42</v>
      </c>
      <c r="W108" s="26">
        <v>1570</v>
      </c>
      <c r="X108" s="27">
        <f t="shared" si="15"/>
        <v>27.068965517241381</v>
      </c>
      <c r="Y108" s="28"/>
      <c r="Z108" s="31"/>
      <c r="AA108" s="25"/>
      <c r="AB108" s="30">
        <f t="shared" si="16"/>
        <v>0</v>
      </c>
      <c r="AC108" s="25"/>
      <c r="AD108" s="25"/>
      <c r="AE108" s="25">
        <v>230328</v>
      </c>
      <c r="AF108" s="25" t="s">
        <v>35</v>
      </c>
      <c r="AG108" s="25"/>
      <c r="AH108" s="25"/>
      <c r="AI108" s="185"/>
      <c r="AJ108" s="185"/>
      <c r="AK108" s="185"/>
      <c r="AL108" s="185"/>
    </row>
    <row r="109" spans="1:38" s="185" customFormat="1" ht="20.100000000000001" customHeight="1">
      <c r="A109" s="24" t="str">
        <f>"8SW"&amp;TEXT(ROW(A101),"000")</f>
        <v>8SW101</v>
      </c>
      <c r="B109" s="25" t="s">
        <v>91</v>
      </c>
      <c r="C109" s="25">
        <v>0</v>
      </c>
      <c r="D109" s="19" t="s">
        <v>30</v>
      </c>
      <c r="E109" s="25" t="s">
        <v>31</v>
      </c>
      <c r="F109" s="25" t="s">
        <v>111</v>
      </c>
      <c r="G109" s="25" t="s">
        <v>53</v>
      </c>
      <c r="H109" s="25"/>
      <c r="I109" s="25" t="s">
        <v>32</v>
      </c>
      <c r="J109" s="25">
        <v>1</v>
      </c>
      <c r="K109" s="25" t="s">
        <v>87</v>
      </c>
      <c r="L109" s="25" t="s">
        <v>31</v>
      </c>
      <c r="M109" s="25" t="s">
        <v>92</v>
      </c>
      <c r="N109" s="24" t="s">
        <v>95</v>
      </c>
      <c r="O109" s="25"/>
      <c r="P109" s="25"/>
      <c r="Q109" s="25" t="s">
        <v>94</v>
      </c>
      <c r="R109" s="25"/>
      <c r="S109" s="25"/>
      <c r="T109" s="25"/>
      <c r="U109" s="25"/>
      <c r="V109" s="25" t="s">
        <v>42</v>
      </c>
      <c r="W109" s="26">
        <v>1570</v>
      </c>
      <c r="X109" s="27">
        <f t="shared" si="15"/>
        <v>27.068965517241381</v>
      </c>
      <c r="Y109" s="28"/>
      <c r="Z109" s="31"/>
      <c r="AA109" s="25"/>
      <c r="AB109" s="30">
        <f t="shared" si="16"/>
        <v>0</v>
      </c>
      <c r="AC109" s="25"/>
      <c r="AD109" s="25"/>
      <c r="AE109" s="25">
        <v>230328</v>
      </c>
      <c r="AF109" s="25" t="s">
        <v>35</v>
      </c>
      <c r="AG109" s="25"/>
      <c r="AH109" s="25"/>
    </row>
    <row r="110" spans="1:38" s="185" customFormat="1" ht="20.100000000000001" customHeight="1">
      <c r="A110" s="24" t="str">
        <f>"BH"&amp;TEXT(ROW(A90),"000")</f>
        <v>BH090</v>
      </c>
      <c r="B110" s="34" t="s">
        <v>217</v>
      </c>
      <c r="C110" s="25">
        <v>0</v>
      </c>
      <c r="D110" s="25" t="s">
        <v>30</v>
      </c>
      <c r="E110" s="25" t="s">
        <v>31</v>
      </c>
      <c r="F110" s="25" t="s">
        <v>111</v>
      </c>
      <c r="G110" s="25" t="s">
        <v>53</v>
      </c>
      <c r="H110" s="25"/>
      <c r="I110" s="25" t="s">
        <v>32</v>
      </c>
      <c r="J110" s="25">
        <v>1</v>
      </c>
      <c r="K110" s="34" t="s">
        <v>218</v>
      </c>
      <c r="L110" s="34" t="s">
        <v>31</v>
      </c>
      <c r="M110" s="34" t="s">
        <v>219</v>
      </c>
      <c r="N110" s="35" t="s">
        <v>220</v>
      </c>
      <c r="O110" s="34"/>
      <c r="P110" s="34"/>
      <c r="Q110" s="34"/>
      <c r="R110" s="34"/>
      <c r="S110" s="34"/>
      <c r="T110" s="34"/>
      <c r="U110" s="34" t="s">
        <v>221</v>
      </c>
      <c r="V110" s="34" t="s">
        <v>42</v>
      </c>
      <c r="W110" s="36">
        <v>17342</v>
      </c>
      <c r="X110" s="27">
        <f t="shared" si="15"/>
        <v>299</v>
      </c>
      <c r="Y110" s="28"/>
      <c r="Z110" s="31"/>
      <c r="AA110" s="34"/>
      <c r="AB110" s="30">
        <f t="shared" si="16"/>
        <v>0</v>
      </c>
      <c r="AC110" s="25"/>
      <c r="AD110" s="25"/>
      <c r="AE110" s="25">
        <v>220421</v>
      </c>
      <c r="AF110" s="25" t="s">
        <v>35</v>
      </c>
      <c r="AG110" s="25"/>
      <c r="AH110" s="25"/>
    </row>
    <row r="111" spans="1:38" s="185" customFormat="1" ht="20.100000000000001" customHeight="1">
      <c r="A111" s="24" t="str">
        <f>"BH"&amp;TEXT(ROW(A91),"000")</f>
        <v>BH091</v>
      </c>
      <c r="B111" s="34" t="s">
        <v>217</v>
      </c>
      <c r="C111" s="25">
        <v>0</v>
      </c>
      <c r="D111" s="25" t="s">
        <v>30</v>
      </c>
      <c r="E111" s="25" t="s">
        <v>31</v>
      </c>
      <c r="F111" s="25" t="s">
        <v>111</v>
      </c>
      <c r="G111" s="25" t="s">
        <v>53</v>
      </c>
      <c r="H111" s="25"/>
      <c r="I111" s="25" t="s">
        <v>32</v>
      </c>
      <c r="J111" s="25">
        <v>1</v>
      </c>
      <c r="K111" s="34" t="s">
        <v>218</v>
      </c>
      <c r="L111" s="34" t="s">
        <v>31</v>
      </c>
      <c r="M111" s="34" t="s">
        <v>219</v>
      </c>
      <c r="N111" s="35" t="s">
        <v>222</v>
      </c>
      <c r="O111" s="34"/>
      <c r="P111" s="34"/>
      <c r="Q111" s="34"/>
      <c r="R111" s="34"/>
      <c r="S111" s="34"/>
      <c r="T111" s="34"/>
      <c r="U111" s="34" t="s">
        <v>221</v>
      </c>
      <c r="V111" s="34" t="s">
        <v>42</v>
      </c>
      <c r="W111" s="36">
        <v>17342</v>
      </c>
      <c r="X111" s="27">
        <f t="shared" si="15"/>
        <v>299</v>
      </c>
      <c r="Y111" s="28"/>
      <c r="Z111" s="31"/>
      <c r="AA111" s="34"/>
      <c r="AB111" s="30">
        <f t="shared" si="16"/>
        <v>0</v>
      </c>
      <c r="AC111" s="25"/>
      <c r="AD111" s="25"/>
      <c r="AE111" s="25">
        <v>220421</v>
      </c>
      <c r="AF111" s="25" t="s">
        <v>35</v>
      </c>
      <c r="AG111" s="25"/>
      <c r="AH111" s="25"/>
    </row>
    <row r="112" spans="1:38" s="185" customFormat="1" ht="20.100000000000001" customHeight="1">
      <c r="A112" s="24" t="str">
        <f>"BH"&amp;TEXT(ROW(A92),"000")</f>
        <v>BH092</v>
      </c>
      <c r="B112" s="34" t="s">
        <v>217</v>
      </c>
      <c r="C112" s="25">
        <v>0</v>
      </c>
      <c r="D112" s="25" t="s">
        <v>30</v>
      </c>
      <c r="E112" s="25" t="s">
        <v>31</v>
      </c>
      <c r="F112" s="25" t="s">
        <v>111</v>
      </c>
      <c r="G112" s="25" t="s">
        <v>53</v>
      </c>
      <c r="H112" s="25">
        <v>241022</v>
      </c>
      <c r="I112" s="25" t="s">
        <v>32</v>
      </c>
      <c r="J112" s="25">
        <v>1</v>
      </c>
      <c r="K112" s="34" t="s">
        <v>218</v>
      </c>
      <c r="L112" s="34" t="s">
        <v>31</v>
      </c>
      <c r="M112" s="34" t="s">
        <v>219</v>
      </c>
      <c r="N112" s="35" t="s">
        <v>409</v>
      </c>
      <c r="O112" s="34"/>
      <c r="P112" s="34"/>
      <c r="Q112" s="34"/>
      <c r="R112" s="34"/>
      <c r="S112" s="34"/>
      <c r="T112" s="34"/>
      <c r="U112" s="34" t="s">
        <v>221</v>
      </c>
      <c r="V112" s="34" t="s">
        <v>42</v>
      </c>
      <c r="W112" s="36">
        <v>17342</v>
      </c>
      <c r="X112" s="44">
        <f t="shared" si="15"/>
        <v>299</v>
      </c>
      <c r="Y112" s="28"/>
      <c r="Z112" s="31"/>
      <c r="AA112" s="34"/>
      <c r="AB112" s="30">
        <f t="shared" si="16"/>
        <v>0</v>
      </c>
      <c r="AC112" s="25"/>
      <c r="AD112" s="25"/>
      <c r="AE112" s="25">
        <v>220421</v>
      </c>
      <c r="AF112" s="25" t="s">
        <v>35</v>
      </c>
      <c r="AG112" s="25"/>
      <c r="AH112" s="25"/>
    </row>
    <row r="113" spans="1:38" s="156" customFormat="1" ht="20.100000000000001" customHeight="1">
      <c r="A113" s="74" t="str">
        <f>"BS"&amp;TEXT(ROW(A109),"000")</f>
        <v>BS109</v>
      </c>
      <c r="B113" s="25" t="s">
        <v>325</v>
      </c>
      <c r="C113" s="48">
        <v>4</v>
      </c>
      <c r="D113" s="48" t="s">
        <v>30</v>
      </c>
      <c r="E113" s="48" t="s">
        <v>31</v>
      </c>
      <c r="F113" s="48" t="s">
        <v>111</v>
      </c>
      <c r="G113" s="48" t="s">
        <v>53</v>
      </c>
      <c r="H113" s="48">
        <v>250819</v>
      </c>
      <c r="I113" s="48" t="s">
        <v>32</v>
      </c>
      <c r="J113" s="48">
        <v>1</v>
      </c>
      <c r="K113" s="25" t="s">
        <v>520</v>
      </c>
      <c r="L113" s="25"/>
      <c r="M113" s="25" t="s">
        <v>521</v>
      </c>
      <c r="N113" s="24">
        <v>4262380671317</v>
      </c>
      <c r="O113" s="25"/>
      <c r="P113" s="25"/>
      <c r="Q113" s="25"/>
      <c r="R113" s="25"/>
      <c r="S113" s="25"/>
      <c r="T113" s="25"/>
      <c r="U113" s="25"/>
      <c r="V113" s="25" t="s">
        <v>42</v>
      </c>
      <c r="W113" s="33"/>
      <c r="X113" s="25"/>
      <c r="Y113" s="63"/>
      <c r="Z113" s="64"/>
      <c r="AA113" s="25"/>
      <c r="AB113" s="60"/>
      <c r="AC113" s="25"/>
      <c r="AD113" s="25"/>
      <c r="AE113" s="48">
        <v>250818</v>
      </c>
      <c r="AF113" s="48" t="s">
        <v>360</v>
      </c>
      <c r="AG113" s="48"/>
      <c r="AH113" s="48"/>
      <c r="AI113" s="185"/>
      <c r="AJ113" s="185"/>
      <c r="AK113" s="185"/>
      <c r="AL113" s="185"/>
    </row>
    <row r="114" spans="1:38" s="186" customFormat="1" ht="20.100000000000001" customHeight="1">
      <c r="A114" s="74" t="str">
        <f>"BS"&amp;TEXT(ROW(A110),"000")</f>
        <v>BS110</v>
      </c>
      <c r="B114" s="25" t="s">
        <v>325</v>
      </c>
      <c r="C114" s="48">
        <v>5</v>
      </c>
      <c r="D114" s="48" t="s">
        <v>30</v>
      </c>
      <c r="E114" s="48" t="s">
        <v>31</v>
      </c>
      <c r="F114" s="48" t="s">
        <v>111</v>
      </c>
      <c r="G114" s="48" t="s">
        <v>53</v>
      </c>
      <c r="H114" s="48">
        <v>250819</v>
      </c>
      <c r="I114" s="48" t="s">
        <v>32</v>
      </c>
      <c r="J114" s="48">
        <v>1</v>
      </c>
      <c r="K114" s="25" t="s">
        <v>522</v>
      </c>
      <c r="L114" s="25"/>
      <c r="M114" s="25" t="s">
        <v>523</v>
      </c>
      <c r="N114" s="24" t="s">
        <v>524</v>
      </c>
      <c r="O114" s="25"/>
      <c r="P114" s="25"/>
      <c r="Q114" s="25"/>
      <c r="R114" s="25"/>
      <c r="S114" s="25"/>
      <c r="T114" s="25"/>
      <c r="U114" s="25"/>
      <c r="V114" s="25" t="s">
        <v>42</v>
      </c>
      <c r="W114" s="33"/>
      <c r="X114" s="25"/>
      <c r="Y114" s="63"/>
      <c r="Z114" s="64"/>
      <c r="AA114" s="25"/>
      <c r="AB114" s="60"/>
      <c r="AC114" s="25"/>
      <c r="AD114" s="25"/>
      <c r="AE114" s="48">
        <v>250818</v>
      </c>
      <c r="AF114" s="48" t="s">
        <v>360</v>
      </c>
      <c r="AG114" s="48"/>
      <c r="AH114" s="48"/>
      <c r="AI114" s="185"/>
      <c r="AJ114" s="185"/>
      <c r="AK114" s="185"/>
      <c r="AL114" s="185"/>
    </row>
    <row r="115" spans="1:38" s="191" customFormat="1" ht="20.100000000000001" customHeight="1">
      <c r="A115" s="74" t="str">
        <f>"BS"&amp;TEXT(ROW(A111),"000")</f>
        <v>BS111</v>
      </c>
      <c r="B115" s="25" t="s">
        <v>325</v>
      </c>
      <c r="C115" s="48">
        <v>6</v>
      </c>
      <c r="D115" s="48" t="s">
        <v>30</v>
      </c>
      <c r="E115" s="48" t="s">
        <v>31</v>
      </c>
      <c r="F115" s="48" t="s">
        <v>111</v>
      </c>
      <c r="G115" s="48" t="s">
        <v>53</v>
      </c>
      <c r="H115" s="48">
        <v>250819</v>
      </c>
      <c r="I115" s="48" t="s">
        <v>32</v>
      </c>
      <c r="J115" s="48">
        <v>1</v>
      </c>
      <c r="K115" s="48" t="s">
        <v>525</v>
      </c>
      <c r="L115" s="48"/>
      <c r="M115" s="48" t="s">
        <v>526</v>
      </c>
      <c r="N115" s="47" t="s">
        <v>527</v>
      </c>
      <c r="O115" s="48"/>
      <c r="P115" s="48"/>
      <c r="Q115" s="48"/>
      <c r="R115" s="48"/>
      <c r="S115" s="48"/>
      <c r="T115" s="48"/>
      <c r="U115" s="48"/>
      <c r="V115" s="25" t="s">
        <v>42</v>
      </c>
      <c r="W115" s="49"/>
      <c r="X115" s="48"/>
      <c r="Y115" s="65"/>
      <c r="Z115" s="64"/>
      <c r="AA115" s="48"/>
      <c r="AB115" s="48"/>
      <c r="AC115" s="48"/>
      <c r="AD115" s="48"/>
      <c r="AE115" s="48">
        <v>250818</v>
      </c>
      <c r="AF115" s="48" t="s">
        <v>360</v>
      </c>
      <c r="AG115" s="48"/>
      <c r="AH115" s="48"/>
      <c r="AI115" s="202"/>
      <c r="AJ115" s="202"/>
      <c r="AK115" s="202"/>
      <c r="AL115" s="202"/>
    </row>
    <row r="116" spans="1:38" s="200" customFormat="1" ht="20.100000000000001" customHeight="1">
      <c r="A116" s="74" t="str">
        <f>"BS"&amp;TEXT(ROW(A112),"000")</f>
        <v>BS112</v>
      </c>
      <c r="B116" s="25" t="s">
        <v>325</v>
      </c>
      <c r="C116" s="25">
        <v>7</v>
      </c>
      <c r="D116" s="25" t="s">
        <v>30</v>
      </c>
      <c r="E116" s="25" t="s">
        <v>31</v>
      </c>
      <c r="F116" s="25" t="s">
        <v>111</v>
      </c>
      <c r="G116" s="25" t="s">
        <v>53</v>
      </c>
      <c r="H116" s="25" t="s">
        <v>200</v>
      </c>
      <c r="I116" s="25" t="s">
        <v>32</v>
      </c>
      <c r="J116" s="25">
        <v>1</v>
      </c>
      <c r="K116" s="25" t="s">
        <v>621</v>
      </c>
      <c r="L116" s="25"/>
      <c r="M116" s="25" t="s">
        <v>622</v>
      </c>
      <c r="N116" s="25" t="s">
        <v>623</v>
      </c>
      <c r="O116" s="25"/>
      <c r="P116" s="25"/>
      <c r="Q116" s="25"/>
      <c r="R116" s="25"/>
      <c r="S116" s="25"/>
      <c r="T116" s="25"/>
      <c r="U116" s="25"/>
      <c r="V116" s="25" t="s">
        <v>42</v>
      </c>
      <c r="W116" s="25"/>
      <c r="X116" s="25"/>
      <c r="Y116" s="25"/>
      <c r="Z116" s="25"/>
      <c r="AA116" s="25"/>
      <c r="AB116" s="25"/>
      <c r="AC116" s="25"/>
      <c r="AD116" s="25"/>
      <c r="AE116" s="25" t="s">
        <v>200</v>
      </c>
      <c r="AF116" s="25" t="s">
        <v>35</v>
      </c>
      <c r="AG116" s="25"/>
      <c r="AH116" s="25"/>
      <c r="AI116" s="202"/>
      <c r="AJ116" s="202"/>
      <c r="AK116" s="202"/>
      <c r="AL116" s="202"/>
    </row>
    <row r="117" spans="1:38" s="156" customFormat="1" ht="20.100000000000001" customHeight="1">
      <c r="A117" s="74" t="str">
        <f>"BS"&amp;TEXT(ROW(A113),"000")</f>
        <v>BS113</v>
      </c>
      <c r="B117" s="25" t="s">
        <v>325</v>
      </c>
      <c r="C117" s="110">
        <v>8</v>
      </c>
      <c r="D117" s="110" t="s">
        <v>30</v>
      </c>
      <c r="E117" s="110" t="s">
        <v>31</v>
      </c>
      <c r="F117" s="110" t="s">
        <v>111</v>
      </c>
      <c r="G117" s="110" t="s">
        <v>1117</v>
      </c>
      <c r="H117" s="110" t="s">
        <v>200</v>
      </c>
      <c r="I117" s="110" t="s">
        <v>32</v>
      </c>
      <c r="J117" s="110">
        <v>1</v>
      </c>
      <c r="K117" s="110" t="s">
        <v>1118</v>
      </c>
      <c r="L117" s="110" t="s">
        <v>200</v>
      </c>
      <c r="M117" s="110" t="s">
        <v>1119</v>
      </c>
      <c r="N117" s="305">
        <v>873632242818</v>
      </c>
      <c r="O117" s="110"/>
      <c r="P117" s="110"/>
      <c r="Q117" s="110"/>
      <c r="R117" s="110"/>
      <c r="S117" s="110"/>
      <c r="T117" s="110"/>
      <c r="U117" s="110"/>
      <c r="V117" s="110" t="s">
        <v>200</v>
      </c>
      <c r="W117" s="110"/>
      <c r="X117" s="110"/>
      <c r="Y117" s="110"/>
      <c r="Z117" s="110"/>
      <c r="AA117" s="110"/>
      <c r="AB117" s="110"/>
      <c r="AC117" s="110"/>
      <c r="AD117" s="110"/>
      <c r="AE117" s="110" t="s">
        <v>675</v>
      </c>
      <c r="AF117" s="110" t="s">
        <v>35</v>
      </c>
      <c r="AG117" s="110"/>
      <c r="AH117" s="110"/>
      <c r="AI117" s="185"/>
      <c r="AJ117" s="185"/>
      <c r="AK117" s="185"/>
      <c r="AL117" s="185"/>
    </row>
    <row r="118" spans="1:38" s="156" customFormat="1" ht="20.100000000000001" customHeight="1">
      <c r="A118" s="38" t="str">
        <f>"CCTV"&amp;TEXT(ROW(A76),"000")</f>
        <v>CCTV076</v>
      </c>
      <c r="B118" s="19" t="s">
        <v>432</v>
      </c>
      <c r="C118" s="19">
        <v>0</v>
      </c>
      <c r="D118" s="19" t="s">
        <v>30</v>
      </c>
      <c r="E118" s="19" t="s">
        <v>31</v>
      </c>
      <c r="F118" s="19" t="s">
        <v>433</v>
      </c>
      <c r="G118" s="19" t="s">
        <v>53</v>
      </c>
      <c r="H118" s="19">
        <v>241125</v>
      </c>
      <c r="I118" s="19" t="s">
        <v>168</v>
      </c>
      <c r="J118" s="19">
        <v>1</v>
      </c>
      <c r="K118" s="19" t="s">
        <v>434</v>
      </c>
      <c r="L118" s="19" t="s">
        <v>31</v>
      </c>
      <c r="M118" s="19" t="s">
        <v>435</v>
      </c>
      <c r="N118" s="38">
        <v>2254149004749</v>
      </c>
      <c r="O118" s="19"/>
      <c r="P118" s="19"/>
      <c r="Q118" s="19"/>
      <c r="R118" s="19"/>
      <c r="S118" s="19"/>
      <c r="T118" s="19"/>
      <c r="U118" s="19"/>
      <c r="V118" s="19" t="s">
        <v>42</v>
      </c>
      <c r="W118" s="39">
        <v>3390</v>
      </c>
      <c r="X118" s="50" t="e">
        <f>W118/#REF!</f>
        <v>#REF!</v>
      </c>
      <c r="Y118" s="43"/>
      <c r="Z118" s="51"/>
      <c r="AA118" s="19"/>
      <c r="AB118" s="19"/>
      <c r="AC118" s="19"/>
      <c r="AD118" s="19"/>
      <c r="AE118" s="19">
        <v>241125</v>
      </c>
      <c r="AF118" s="19" t="s">
        <v>360</v>
      </c>
      <c r="AG118" s="19"/>
      <c r="AH118" s="19"/>
      <c r="AI118" s="185"/>
      <c r="AJ118" s="185"/>
      <c r="AK118" s="185"/>
      <c r="AL118" s="185"/>
    </row>
    <row r="119" spans="1:38" s="186" customFormat="1" ht="20.100000000000001" customHeight="1">
      <c r="A119" s="24" t="str">
        <f>"CP"&amp;TEXT(ROW(A87),"000")</f>
        <v>CP087</v>
      </c>
      <c r="B119" s="25" t="s">
        <v>349</v>
      </c>
      <c r="C119" s="25">
        <v>1</v>
      </c>
      <c r="D119" s="25" t="s">
        <v>30</v>
      </c>
      <c r="E119" s="25" t="s">
        <v>31</v>
      </c>
      <c r="F119" s="25" t="s">
        <v>111</v>
      </c>
      <c r="G119" s="25" t="s">
        <v>53</v>
      </c>
      <c r="H119" s="25"/>
      <c r="I119" s="25" t="s">
        <v>168</v>
      </c>
      <c r="J119" s="25">
        <v>1</v>
      </c>
      <c r="K119" s="25" t="s">
        <v>352</v>
      </c>
      <c r="L119" s="25" t="s">
        <v>31</v>
      </c>
      <c r="M119" s="25" t="s">
        <v>353</v>
      </c>
      <c r="N119" s="24"/>
      <c r="O119" s="25"/>
      <c r="P119" s="25"/>
      <c r="Q119" s="25"/>
      <c r="R119" s="25"/>
      <c r="S119" s="25"/>
      <c r="T119" s="25"/>
      <c r="U119" s="25"/>
      <c r="V119" s="25" t="s">
        <v>42</v>
      </c>
      <c r="W119" s="26">
        <v>13999</v>
      </c>
      <c r="X119" s="27">
        <f>W119/58</f>
        <v>241.36206896551724</v>
      </c>
      <c r="Y119" s="33"/>
      <c r="Z119" s="31"/>
      <c r="AA119" s="25"/>
      <c r="AB119" s="30">
        <f>Y119</f>
        <v>0</v>
      </c>
      <c r="AC119" s="25"/>
      <c r="AD119" s="25"/>
      <c r="AE119" s="25">
        <v>230328</v>
      </c>
      <c r="AF119" s="25" t="s">
        <v>35</v>
      </c>
      <c r="AG119" s="25" t="s">
        <v>354</v>
      </c>
      <c r="AH119" s="25"/>
      <c r="AI119" s="185"/>
      <c r="AJ119" s="185"/>
      <c r="AK119" s="185"/>
      <c r="AL119" s="185"/>
    </row>
    <row r="120" spans="1:38" s="156" customFormat="1" ht="20.100000000000001" customHeight="1">
      <c r="A120" s="24" t="str">
        <f>"CP"&amp;TEXT(ROW(A88),"000")</f>
        <v>CP088</v>
      </c>
      <c r="B120" s="19" t="s">
        <v>349</v>
      </c>
      <c r="C120" s="19">
        <v>3</v>
      </c>
      <c r="D120" s="19" t="s">
        <v>30</v>
      </c>
      <c r="E120" s="19" t="s">
        <v>31</v>
      </c>
      <c r="F120" s="19" t="s">
        <v>111</v>
      </c>
      <c r="G120" s="19" t="s">
        <v>539</v>
      </c>
      <c r="H120" s="19">
        <v>250318</v>
      </c>
      <c r="I120" s="19" t="s">
        <v>168</v>
      </c>
      <c r="J120" s="19">
        <v>1</v>
      </c>
      <c r="K120" s="19" t="s">
        <v>350</v>
      </c>
      <c r="L120" s="19" t="s">
        <v>31</v>
      </c>
      <c r="M120" s="19" t="s">
        <v>351</v>
      </c>
      <c r="N120" s="38" t="s">
        <v>416</v>
      </c>
      <c r="O120" s="19"/>
      <c r="P120" s="19"/>
      <c r="Q120" s="19"/>
      <c r="R120" s="19" t="s">
        <v>417</v>
      </c>
      <c r="S120" s="19"/>
      <c r="T120" s="19"/>
      <c r="U120" s="19">
        <v>64</v>
      </c>
      <c r="V120" s="19" t="s">
        <v>42</v>
      </c>
      <c r="W120" s="39"/>
      <c r="X120" s="192">
        <f>W120/58</f>
        <v>0</v>
      </c>
      <c r="Y120" s="43"/>
      <c r="Z120" s="41"/>
      <c r="AA120" s="19"/>
      <c r="AB120" s="43">
        <f>Y120</f>
        <v>0</v>
      </c>
      <c r="AC120" s="19"/>
      <c r="AD120" s="19"/>
      <c r="AE120" s="19">
        <v>250331</v>
      </c>
      <c r="AF120" s="19" t="s">
        <v>35</v>
      </c>
      <c r="AG120" s="19" t="s">
        <v>418</v>
      </c>
      <c r="AH120" s="19"/>
      <c r="AI120" s="185"/>
      <c r="AJ120" s="185"/>
      <c r="AK120" s="185"/>
      <c r="AL120" s="185"/>
    </row>
    <row r="121" spans="1:38" s="156" customFormat="1" ht="20.100000000000001" customHeight="1">
      <c r="A121" s="24" t="str">
        <f>"CP"&amp;TEXT(ROW(A89),"000")</f>
        <v>CP089</v>
      </c>
      <c r="B121" s="66" t="s">
        <v>349</v>
      </c>
      <c r="C121" s="66">
        <v>4</v>
      </c>
      <c r="D121" s="48" t="s">
        <v>30</v>
      </c>
      <c r="E121" s="66" t="s">
        <v>31</v>
      </c>
      <c r="F121" s="48" t="s">
        <v>111</v>
      </c>
      <c r="G121" s="48" t="s">
        <v>531</v>
      </c>
      <c r="H121" s="48">
        <v>250819</v>
      </c>
      <c r="I121" s="66" t="s">
        <v>32</v>
      </c>
      <c r="J121" s="66">
        <v>1</v>
      </c>
      <c r="K121" s="66" t="s">
        <v>532</v>
      </c>
      <c r="L121" s="66"/>
      <c r="M121" s="66" t="s">
        <v>533</v>
      </c>
      <c r="N121" s="67" t="s">
        <v>534</v>
      </c>
      <c r="O121" s="66"/>
      <c r="P121" s="66"/>
      <c r="Q121" s="66"/>
      <c r="R121" s="66"/>
      <c r="S121" s="66"/>
      <c r="T121" s="66"/>
      <c r="U121" s="66"/>
      <c r="V121" s="66" t="s">
        <v>34</v>
      </c>
      <c r="W121" s="68"/>
      <c r="X121" s="66"/>
      <c r="Y121" s="66"/>
      <c r="Z121" s="66"/>
      <c r="AA121" s="66"/>
      <c r="AB121" s="66"/>
      <c r="AC121" s="66"/>
      <c r="AD121" s="66"/>
      <c r="AE121" s="48">
        <v>250818</v>
      </c>
      <c r="AF121" s="48" t="s">
        <v>360</v>
      </c>
      <c r="AG121" s="66"/>
      <c r="AH121" s="66"/>
      <c r="AI121" s="185"/>
      <c r="AJ121" s="185"/>
      <c r="AK121" s="185"/>
      <c r="AL121" s="185"/>
    </row>
    <row r="122" spans="1:38" s="186" customFormat="1" ht="20.100000000000001" customHeight="1">
      <c r="A122" s="25" t="str">
        <f>"CT"&amp;TEXT(ROW(A68),"000")</f>
        <v>CT068</v>
      </c>
      <c r="B122" s="25" t="s">
        <v>371</v>
      </c>
      <c r="C122" s="25">
        <v>0</v>
      </c>
      <c r="D122" s="25" t="s">
        <v>30</v>
      </c>
      <c r="E122" s="25" t="s">
        <v>31</v>
      </c>
      <c r="F122" s="25" t="s">
        <v>111</v>
      </c>
      <c r="G122" s="25" t="s">
        <v>53</v>
      </c>
      <c r="H122" s="25">
        <v>241104</v>
      </c>
      <c r="I122" s="25" t="s">
        <v>168</v>
      </c>
      <c r="J122" s="25">
        <v>4</v>
      </c>
      <c r="K122" s="25" t="s">
        <v>33</v>
      </c>
      <c r="L122" s="25" t="s">
        <v>31</v>
      </c>
      <c r="M122" s="25" t="s">
        <v>200</v>
      </c>
      <c r="N122" s="24"/>
      <c r="O122" s="25"/>
      <c r="P122" s="25"/>
      <c r="Q122" s="25"/>
      <c r="R122" s="25"/>
      <c r="S122" s="25"/>
      <c r="T122" s="25"/>
      <c r="U122" s="25"/>
      <c r="V122" s="25" t="s">
        <v>42</v>
      </c>
      <c r="W122" s="26">
        <v>500</v>
      </c>
      <c r="X122" s="27">
        <f t="shared" ref="X122:X132" si="17">W122/58</f>
        <v>8.6206896551724146</v>
      </c>
      <c r="Y122" s="28"/>
      <c r="Z122" s="31"/>
      <c r="AA122" s="25"/>
      <c r="AB122" s="30">
        <f t="shared" ref="AB122:AB132" si="18">Y122</f>
        <v>0</v>
      </c>
      <c r="AC122" s="25"/>
      <c r="AD122" s="25"/>
      <c r="AE122" s="25">
        <v>241104</v>
      </c>
      <c r="AF122" s="25" t="s">
        <v>360</v>
      </c>
      <c r="AG122" s="25"/>
      <c r="AH122" s="25"/>
      <c r="AI122" s="185"/>
      <c r="AJ122" s="185"/>
      <c r="AK122" s="185"/>
      <c r="AL122" s="185"/>
    </row>
    <row r="123" spans="1:38" s="190" customFormat="1" ht="20.100000000000001" customHeight="1">
      <c r="A123" s="74" t="str">
        <f>"DESK"&amp;TEXT(ROW(A117),"000")</f>
        <v>DESK117</v>
      </c>
      <c r="B123" s="25" t="s">
        <v>296</v>
      </c>
      <c r="C123" s="25">
        <v>3</v>
      </c>
      <c r="D123" s="25" t="s">
        <v>30</v>
      </c>
      <c r="E123" s="25" t="s">
        <v>31</v>
      </c>
      <c r="F123" s="25" t="s">
        <v>111</v>
      </c>
      <c r="G123" s="25" t="s">
        <v>53</v>
      </c>
      <c r="H123" s="25"/>
      <c r="I123" s="25" t="s">
        <v>32</v>
      </c>
      <c r="J123" s="25">
        <v>1</v>
      </c>
      <c r="K123" s="25" t="s">
        <v>151</v>
      </c>
      <c r="L123" s="25" t="s">
        <v>31</v>
      </c>
      <c r="M123" s="25" t="s">
        <v>304</v>
      </c>
      <c r="N123" s="24" t="s">
        <v>305</v>
      </c>
      <c r="O123" s="25"/>
      <c r="P123" s="25" t="s">
        <v>306</v>
      </c>
      <c r="Q123" s="25" t="s">
        <v>307</v>
      </c>
      <c r="R123" s="25" t="s">
        <v>283</v>
      </c>
      <c r="S123" s="25" t="s">
        <v>147</v>
      </c>
      <c r="T123" s="25" t="s">
        <v>302</v>
      </c>
      <c r="U123" s="25" t="s">
        <v>308</v>
      </c>
      <c r="V123" s="25" t="s">
        <v>42</v>
      </c>
      <c r="W123" s="26"/>
      <c r="X123" s="27">
        <f t="shared" si="17"/>
        <v>0</v>
      </c>
      <c r="Y123" s="33"/>
      <c r="Z123" s="31"/>
      <c r="AA123" s="25"/>
      <c r="AB123" s="30">
        <f t="shared" si="18"/>
        <v>0</v>
      </c>
      <c r="AC123" s="25"/>
      <c r="AD123" s="25"/>
      <c r="AE123" s="25">
        <v>220902</v>
      </c>
      <c r="AF123" s="25" t="s">
        <v>35</v>
      </c>
      <c r="AG123" s="25" t="s">
        <v>624</v>
      </c>
      <c r="AH123" s="25"/>
      <c r="AI123" s="185"/>
      <c r="AJ123" s="185"/>
      <c r="AK123" s="185"/>
      <c r="AL123" s="185"/>
    </row>
    <row r="124" spans="1:38" s="156" customFormat="1" ht="20.100000000000001" customHeight="1">
      <c r="A124" s="24" t="str">
        <f>"DPC"&amp;TEXT(ROW(A56),"000")</f>
        <v>DPC056</v>
      </c>
      <c r="B124" s="25" t="s">
        <v>57</v>
      </c>
      <c r="C124" s="25">
        <v>0</v>
      </c>
      <c r="D124" s="19" t="s">
        <v>30</v>
      </c>
      <c r="E124" s="25" t="s">
        <v>31</v>
      </c>
      <c r="F124" s="25" t="s">
        <v>111</v>
      </c>
      <c r="G124" s="25" t="s">
        <v>53</v>
      </c>
      <c r="H124" s="25">
        <v>241003</v>
      </c>
      <c r="I124" s="25" t="s">
        <v>32</v>
      </c>
      <c r="J124" s="25">
        <v>2</v>
      </c>
      <c r="K124" s="25"/>
      <c r="L124" s="25" t="s">
        <v>31</v>
      </c>
      <c r="M124" s="25"/>
      <c r="N124" s="24"/>
      <c r="O124" s="25"/>
      <c r="P124" s="25"/>
      <c r="Q124" s="25"/>
      <c r="R124" s="25"/>
      <c r="S124" s="25"/>
      <c r="T124" s="25"/>
      <c r="U124" s="25"/>
      <c r="V124" s="25" t="s">
        <v>42</v>
      </c>
      <c r="W124" s="26">
        <v>299</v>
      </c>
      <c r="X124" s="27">
        <f t="shared" si="17"/>
        <v>5.1551724137931032</v>
      </c>
      <c r="Y124" s="28"/>
      <c r="Z124" s="31"/>
      <c r="AA124" s="25"/>
      <c r="AB124" s="30">
        <f t="shared" si="18"/>
        <v>0</v>
      </c>
      <c r="AC124" s="25"/>
      <c r="AD124" s="25"/>
      <c r="AE124" s="25">
        <v>220902</v>
      </c>
      <c r="AF124" s="25" t="s">
        <v>35</v>
      </c>
      <c r="AG124" s="25"/>
      <c r="AH124" s="25"/>
      <c r="AI124" s="185"/>
      <c r="AJ124" s="185"/>
      <c r="AK124" s="185"/>
      <c r="AL124" s="185"/>
    </row>
    <row r="125" spans="1:38" s="186" customFormat="1" ht="20.100000000000001" customHeight="1">
      <c r="A125" s="24" t="str">
        <f>"DVI"&amp;TEXT(ROW(A55),"000")</f>
        <v>DVI055</v>
      </c>
      <c r="B125" s="25" t="s">
        <v>56</v>
      </c>
      <c r="C125" s="25">
        <v>0</v>
      </c>
      <c r="D125" s="19" t="s">
        <v>30</v>
      </c>
      <c r="E125" s="25" t="s">
        <v>31</v>
      </c>
      <c r="F125" s="25" t="s">
        <v>111</v>
      </c>
      <c r="G125" s="25" t="s">
        <v>53</v>
      </c>
      <c r="H125" s="25">
        <v>241003</v>
      </c>
      <c r="I125" s="25" t="s">
        <v>32</v>
      </c>
      <c r="J125" s="25">
        <v>1</v>
      </c>
      <c r="K125" s="25"/>
      <c r="L125" s="25" t="s">
        <v>31</v>
      </c>
      <c r="M125" s="25"/>
      <c r="N125" s="24"/>
      <c r="O125" s="25"/>
      <c r="P125" s="25"/>
      <c r="Q125" s="25"/>
      <c r="R125" s="25"/>
      <c r="S125" s="25"/>
      <c r="T125" s="25"/>
      <c r="U125" s="25"/>
      <c r="V125" s="25" t="s">
        <v>42</v>
      </c>
      <c r="W125" s="26">
        <v>180</v>
      </c>
      <c r="X125" s="27">
        <f t="shared" si="17"/>
        <v>3.103448275862069</v>
      </c>
      <c r="Y125" s="28"/>
      <c r="Z125" s="31"/>
      <c r="AA125" s="25"/>
      <c r="AB125" s="30">
        <f t="shared" si="18"/>
        <v>0</v>
      </c>
      <c r="AC125" s="25"/>
      <c r="AD125" s="25"/>
      <c r="AE125" s="25">
        <v>220902</v>
      </c>
      <c r="AF125" s="25" t="s">
        <v>35</v>
      </c>
      <c r="AG125" s="25"/>
      <c r="AH125" s="25"/>
      <c r="AI125" s="185"/>
      <c r="AJ125" s="185"/>
      <c r="AK125" s="185"/>
      <c r="AL125" s="185"/>
    </row>
    <row r="126" spans="1:38" s="156" customFormat="1" ht="20.100000000000001" customHeight="1">
      <c r="A126" s="74" t="str">
        <f>"EHD"&amp;TEXT(ROW(A119),"000")</f>
        <v>EHD119</v>
      </c>
      <c r="B126" s="19" t="s">
        <v>316</v>
      </c>
      <c r="C126" s="19">
        <v>0</v>
      </c>
      <c r="D126" s="25" t="s">
        <v>30</v>
      </c>
      <c r="E126" s="19" t="s">
        <v>31</v>
      </c>
      <c r="F126" s="25" t="s">
        <v>111</v>
      </c>
      <c r="G126" s="19" t="s">
        <v>53</v>
      </c>
      <c r="H126" s="19">
        <v>241021</v>
      </c>
      <c r="I126" s="19" t="s">
        <v>32</v>
      </c>
      <c r="J126" s="19">
        <v>1</v>
      </c>
      <c r="K126" s="19" t="s">
        <v>218</v>
      </c>
      <c r="L126" s="19" t="s">
        <v>31</v>
      </c>
      <c r="M126" s="25" t="s">
        <v>318</v>
      </c>
      <c r="N126" s="38" t="s">
        <v>394</v>
      </c>
      <c r="O126" s="19"/>
      <c r="P126" s="19"/>
      <c r="Q126" s="19"/>
      <c r="R126" s="19"/>
      <c r="S126" s="19"/>
      <c r="T126" s="19"/>
      <c r="U126" s="19" t="s">
        <v>320</v>
      </c>
      <c r="V126" s="19" t="s">
        <v>42</v>
      </c>
      <c r="W126" s="39">
        <v>8309</v>
      </c>
      <c r="X126" s="27">
        <f t="shared" si="17"/>
        <v>143.25862068965517</v>
      </c>
      <c r="Y126" s="42"/>
      <c r="Z126" s="41"/>
      <c r="AA126" s="19"/>
      <c r="AB126" s="30">
        <f t="shared" si="18"/>
        <v>0</v>
      </c>
      <c r="AC126" s="19"/>
      <c r="AD126" s="19"/>
      <c r="AE126" s="19" t="s">
        <v>43</v>
      </c>
      <c r="AF126" s="19" t="s">
        <v>35</v>
      </c>
      <c r="AG126" s="19"/>
      <c r="AH126" s="19"/>
      <c r="AI126" s="185"/>
      <c r="AJ126" s="185"/>
      <c r="AK126" s="185"/>
      <c r="AL126" s="185"/>
    </row>
    <row r="127" spans="1:38" s="186" customFormat="1" ht="20.100000000000001" customHeight="1">
      <c r="A127" s="24" t="str">
        <f>"RJ45"&amp;TEXT(ROW(A54),"000")</f>
        <v>RJ45054</v>
      </c>
      <c r="B127" s="25" t="s">
        <v>376</v>
      </c>
      <c r="C127" s="25">
        <v>0</v>
      </c>
      <c r="D127" s="25" t="s">
        <v>30</v>
      </c>
      <c r="E127" s="25" t="s">
        <v>31</v>
      </c>
      <c r="F127" s="25" t="s">
        <v>111</v>
      </c>
      <c r="G127" s="25" t="s">
        <v>53</v>
      </c>
      <c r="H127" s="25">
        <v>241104</v>
      </c>
      <c r="I127" s="25" t="s">
        <v>32</v>
      </c>
      <c r="J127" s="25">
        <v>100</v>
      </c>
      <c r="K127" s="25"/>
      <c r="L127" s="25" t="s">
        <v>31</v>
      </c>
      <c r="M127" s="25" t="s">
        <v>377</v>
      </c>
      <c r="N127" s="24"/>
      <c r="O127" s="25"/>
      <c r="P127" s="25"/>
      <c r="Q127" s="25"/>
      <c r="R127" s="25"/>
      <c r="S127" s="25"/>
      <c r="T127" s="25"/>
      <c r="U127" s="25"/>
      <c r="V127" s="25" t="s">
        <v>42</v>
      </c>
      <c r="W127" s="26">
        <v>1000</v>
      </c>
      <c r="X127" s="27">
        <f t="shared" si="17"/>
        <v>17.241379310344829</v>
      </c>
      <c r="Y127" s="33"/>
      <c r="Z127" s="31"/>
      <c r="AA127" s="25"/>
      <c r="AB127" s="30">
        <f t="shared" si="18"/>
        <v>0</v>
      </c>
      <c r="AC127" s="25"/>
      <c r="AD127" s="25"/>
      <c r="AE127" s="25">
        <v>241104</v>
      </c>
      <c r="AF127" s="25" t="s">
        <v>360</v>
      </c>
      <c r="AG127" s="25"/>
      <c r="AH127" s="25"/>
      <c r="AI127" s="185"/>
      <c r="AJ127" s="185"/>
      <c r="AK127" s="185"/>
      <c r="AL127" s="185"/>
    </row>
    <row r="128" spans="1:38" s="186" customFormat="1" ht="20.100000000000001" customHeight="1">
      <c r="A128" s="17" t="str">
        <f>"HDD"&amp;TEXT(ROW(A35),"000")</f>
        <v>HDD035</v>
      </c>
      <c r="B128" s="18" t="s">
        <v>67</v>
      </c>
      <c r="C128" s="18">
        <v>0</v>
      </c>
      <c r="D128" s="19" t="s">
        <v>30</v>
      </c>
      <c r="E128" s="18" t="s">
        <v>31</v>
      </c>
      <c r="F128" s="18" t="s">
        <v>111</v>
      </c>
      <c r="G128" s="18" t="s">
        <v>68</v>
      </c>
      <c r="H128" s="18">
        <v>241007</v>
      </c>
      <c r="I128" s="18" t="s">
        <v>69</v>
      </c>
      <c r="J128" s="18">
        <v>1</v>
      </c>
      <c r="K128" s="18" t="s">
        <v>70</v>
      </c>
      <c r="L128" s="18" t="s">
        <v>31</v>
      </c>
      <c r="M128" s="18" t="s">
        <v>71</v>
      </c>
      <c r="N128" s="17" t="s">
        <v>72</v>
      </c>
      <c r="O128" s="18"/>
      <c r="P128" s="18"/>
      <c r="Q128" s="18"/>
      <c r="R128" s="18"/>
      <c r="S128" s="18"/>
      <c r="T128" s="18" t="s">
        <v>73</v>
      </c>
      <c r="U128" s="18" t="s">
        <v>74</v>
      </c>
      <c r="V128" s="18" t="s">
        <v>34</v>
      </c>
      <c r="W128" s="26">
        <v>4299</v>
      </c>
      <c r="X128" s="27">
        <f t="shared" si="17"/>
        <v>74.120689655172413</v>
      </c>
      <c r="Y128" s="32">
        <v>3495</v>
      </c>
      <c r="Z128" s="23">
        <f>Y128/58.8</f>
        <v>59.438775510204081</v>
      </c>
      <c r="AA128" s="18" t="s">
        <v>75</v>
      </c>
      <c r="AB128" s="30">
        <f t="shared" si="18"/>
        <v>3495</v>
      </c>
      <c r="AC128" s="18" t="s">
        <v>76</v>
      </c>
      <c r="AD128" s="18"/>
      <c r="AE128" s="18" t="s">
        <v>43</v>
      </c>
      <c r="AF128" s="18" t="s">
        <v>35</v>
      </c>
      <c r="AG128" s="18"/>
      <c r="AH128" s="18"/>
      <c r="AI128" s="185"/>
      <c r="AJ128" s="185"/>
      <c r="AK128" s="185"/>
      <c r="AL128" s="185"/>
    </row>
    <row r="129" spans="1:38" s="156" customFormat="1" ht="20.100000000000001" customHeight="1">
      <c r="A129" s="17" t="str">
        <f>"HDD"&amp;TEXT(ROW(A36),"000")</f>
        <v>HDD036</v>
      </c>
      <c r="B129" s="18" t="s">
        <v>67</v>
      </c>
      <c r="C129" s="18">
        <v>0</v>
      </c>
      <c r="D129" s="19" t="s">
        <v>30</v>
      </c>
      <c r="E129" s="18" t="s">
        <v>31</v>
      </c>
      <c r="F129" s="18" t="s">
        <v>111</v>
      </c>
      <c r="G129" s="18" t="s">
        <v>68</v>
      </c>
      <c r="H129" s="18">
        <v>241007</v>
      </c>
      <c r="I129" s="18" t="s">
        <v>69</v>
      </c>
      <c r="J129" s="18">
        <v>1</v>
      </c>
      <c r="K129" s="18" t="s">
        <v>77</v>
      </c>
      <c r="L129" s="18" t="s">
        <v>31</v>
      </c>
      <c r="M129" s="18" t="s">
        <v>78</v>
      </c>
      <c r="N129" s="17" t="s">
        <v>79</v>
      </c>
      <c r="O129" s="18"/>
      <c r="P129" s="18"/>
      <c r="Q129" s="18"/>
      <c r="R129" s="18"/>
      <c r="S129" s="18"/>
      <c r="T129" s="18" t="s">
        <v>73</v>
      </c>
      <c r="U129" s="18" t="s">
        <v>74</v>
      </c>
      <c r="V129" s="18" t="s">
        <v>34</v>
      </c>
      <c r="W129" s="26">
        <v>4299</v>
      </c>
      <c r="X129" s="27">
        <f t="shared" si="17"/>
        <v>74.120689655172413</v>
      </c>
      <c r="Y129" s="32">
        <v>3495</v>
      </c>
      <c r="Z129" s="23">
        <f>Y129/58.8</f>
        <v>59.438775510204081</v>
      </c>
      <c r="AA129" s="18" t="s">
        <v>75</v>
      </c>
      <c r="AB129" s="30">
        <f t="shared" si="18"/>
        <v>3495</v>
      </c>
      <c r="AC129" s="18" t="s">
        <v>76</v>
      </c>
      <c r="AD129" s="18"/>
      <c r="AE129" s="18" t="s">
        <v>43</v>
      </c>
      <c r="AF129" s="18" t="s">
        <v>35</v>
      </c>
      <c r="AG129" s="18"/>
      <c r="AH129" s="18"/>
      <c r="AI129" s="185"/>
      <c r="AJ129" s="185"/>
      <c r="AK129" s="185"/>
      <c r="AL129" s="185"/>
    </row>
    <row r="130" spans="1:38" s="156" customFormat="1" ht="20.100000000000001" customHeight="1">
      <c r="A130" s="17" t="str">
        <f>"HDD"&amp;TEXT(ROW(A37),"000")</f>
        <v>HDD037</v>
      </c>
      <c r="B130" s="18" t="s">
        <v>67</v>
      </c>
      <c r="C130" s="18">
        <v>0</v>
      </c>
      <c r="D130" s="19" t="s">
        <v>30</v>
      </c>
      <c r="E130" s="18" t="s">
        <v>31</v>
      </c>
      <c r="F130" s="18" t="s">
        <v>111</v>
      </c>
      <c r="G130" s="18" t="s">
        <v>68</v>
      </c>
      <c r="H130" s="18">
        <v>241007</v>
      </c>
      <c r="I130" s="18" t="s">
        <v>69</v>
      </c>
      <c r="J130" s="18">
        <v>1</v>
      </c>
      <c r="K130" s="18" t="s">
        <v>80</v>
      </c>
      <c r="L130" s="18" t="s">
        <v>31</v>
      </c>
      <c r="M130" s="18" t="s">
        <v>81</v>
      </c>
      <c r="N130" s="17" t="s">
        <v>82</v>
      </c>
      <c r="O130" s="18"/>
      <c r="P130" s="18"/>
      <c r="Q130" s="18"/>
      <c r="R130" s="18"/>
      <c r="S130" s="18"/>
      <c r="T130" s="18" t="s">
        <v>73</v>
      </c>
      <c r="U130" s="18" t="s">
        <v>74</v>
      </c>
      <c r="V130" s="18" t="s">
        <v>34</v>
      </c>
      <c r="W130" s="26">
        <v>4299</v>
      </c>
      <c r="X130" s="27">
        <f t="shared" si="17"/>
        <v>74.120689655172413</v>
      </c>
      <c r="Y130" s="32">
        <v>3495</v>
      </c>
      <c r="Z130" s="23">
        <f>Y130/58.8</f>
        <v>59.438775510204081</v>
      </c>
      <c r="AA130" s="18" t="s">
        <v>75</v>
      </c>
      <c r="AB130" s="30">
        <f t="shared" si="18"/>
        <v>3495</v>
      </c>
      <c r="AC130" s="18" t="s">
        <v>76</v>
      </c>
      <c r="AD130" s="18"/>
      <c r="AE130" s="18" t="s">
        <v>43</v>
      </c>
      <c r="AF130" s="18" t="s">
        <v>35</v>
      </c>
      <c r="AG130" s="18"/>
      <c r="AH130" s="18"/>
      <c r="AI130" s="185"/>
      <c r="AJ130" s="185"/>
      <c r="AK130" s="185"/>
      <c r="AL130" s="185"/>
    </row>
    <row r="131" spans="1:38" s="186" customFormat="1" ht="20.100000000000001" customHeight="1">
      <c r="A131" s="17" t="str">
        <f>"HDD"&amp;TEXT(ROW(A38),"000")</f>
        <v>HDD038</v>
      </c>
      <c r="B131" s="18" t="s">
        <v>67</v>
      </c>
      <c r="C131" s="18">
        <v>0</v>
      </c>
      <c r="D131" s="19" t="s">
        <v>30</v>
      </c>
      <c r="E131" s="18" t="s">
        <v>31</v>
      </c>
      <c r="F131" s="18" t="s">
        <v>111</v>
      </c>
      <c r="G131" s="18" t="s">
        <v>68</v>
      </c>
      <c r="H131" s="18">
        <v>241007</v>
      </c>
      <c r="I131" s="18" t="s">
        <v>69</v>
      </c>
      <c r="J131" s="18">
        <v>1</v>
      </c>
      <c r="K131" s="18" t="s">
        <v>80</v>
      </c>
      <c r="L131" s="18" t="s">
        <v>31</v>
      </c>
      <c r="M131" s="18" t="s">
        <v>83</v>
      </c>
      <c r="N131" s="17" t="s">
        <v>84</v>
      </c>
      <c r="O131" s="18"/>
      <c r="P131" s="18"/>
      <c r="Q131" s="18"/>
      <c r="R131" s="18"/>
      <c r="S131" s="18"/>
      <c r="T131" s="18" t="s">
        <v>73</v>
      </c>
      <c r="U131" s="18" t="s">
        <v>74</v>
      </c>
      <c r="V131" s="18" t="s">
        <v>34</v>
      </c>
      <c r="W131" s="26">
        <v>4299</v>
      </c>
      <c r="X131" s="27">
        <f t="shared" si="17"/>
        <v>74.120689655172413</v>
      </c>
      <c r="Y131" s="32">
        <v>3495</v>
      </c>
      <c r="Z131" s="23">
        <f>Y131/58.8</f>
        <v>59.438775510204081</v>
      </c>
      <c r="AA131" s="18" t="s">
        <v>75</v>
      </c>
      <c r="AB131" s="30">
        <f t="shared" si="18"/>
        <v>3495</v>
      </c>
      <c r="AC131" s="18" t="s">
        <v>76</v>
      </c>
      <c r="AD131" s="18"/>
      <c r="AE131" s="18" t="s">
        <v>43</v>
      </c>
      <c r="AF131" s="18" t="s">
        <v>35</v>
      </c>
      <c r="AG131" s="18"/>
      <c r="AH131" s="18"/>
      <c r="AI131" s="185"/>
      <c r="AJ131" s="185"/>
      <c r="AK131" s="185"/>
      <c r="AL131" s="185"/>
    </row>
    <row r="132" spans="1:38" s="196" customFormat="1" ht="20.100000000000001" customHeight="1">
      <c r="A132" s="24" t="str">
        <f>"HDMI"&amp;TEXT(ROW(A35),"000")</f>
        <v>HDMI035</v>
      </c>
      <c r="B132" s="25" t="s">
        <v>55</v>
      </c>
      <c r="C132" s="25">
        <v>0</v>
      </c>
      <c r="D132" s="19" t="s">
        <v>30</v>
      </c>
      <c r="E132" s="25" t="s">
        <v>31</v>
      </c>
      <c r="F132" s="25" t="s">
        <v>111</v>
      </c>
      <c r="G132" s="25" t="s">
        <v>53</v>
      </c>
      <c r="H132" s="25">
        <v>241003</v>
      </c>
      <c r="I132" s="25" t="s">
        <v>32</v>
      </c>
      <c r="J132" s="25">
        <v>1</v>
      </c>
      <c r="K132" s="25"/>
      <c r="L132" s="25" t="s">
        <v>31</v>
      </c>
      <c r="M132" s="25"/>
      <c r="N132" s="24"/>
      <c r="O132" s="25"/>
      <c r="P132" s="25"/>
      <c r="Q132" s="25"/>
      <c r="R132" s="25"/>
      <c r="S132" s="25"/>
      <c r="T132" s="25"/>
      <c r="U132" s="25"/>
      <c r="V132" s="25" t="s">
        <v>42</v>
      </c>
      <c r="W132" s="26">
        <v>195</v>
      </c>
      <c r="X132" s="27">
        <f t="shared" si="17"/>
        <v>3.3620689655172415</v>
      </c>
      <c r="Y132" s="28"/>
      <c r="Z132" s="29"/>
      <c r="AA132" s="25"/>
      <c r="AB132" s="30">
        <f t="shared" si="18"/>
        <v>0</v>
      </c>
      <c r="AC132" s="25"/>
      <c r="AD132" s="25"/>
      <c r="AE132" s="25">
        <v>220902</v>
      </c>
      <c r="AF132" s="25" t="s">
        <v>35</v>
      </c>
      <c r="AG132" s="25"/>
      <c r="AH132" s="25"/>
      <c r="AI132" s="185"/>
      <c r="AJ132" s="185"/>
      <c r="AK132" s="185"/>
      <c r="AL132" s="185"/>
    </row>
    <row r="133" spans="1:38" s="184" customFormat="1" ht="20.100000000000001" customHeight="1">
      <c r="A133" s="38" t="str">
        <f>"HG"&amp;TEXT(ROW(A30),"000")</f>
        <v>HG030</v>
      </c>
      <c r="B133" s="52" t="s">
        <v>439</v>
      </c>
      <c r="C133" s="52">
        <v>0</v>
      </c>
      <c r="D133" s="19" t="s">
        <v>440</v>
      </c>
      <c r="E133" s="19" t="s">
        <v>31</v>
      </c>
      <c r="F133" s="19" t="s">
        <v>111</v>
      </c>
      <c r="G133" s="19" t="s">
        <v>53</v>
      </c>
      <c r="H133" s="52">
        <v>241125</v>
      </c>
      <c r="I133" s="53" t="s">
        <v>168</v>
      </c>
      <c r="J133" s="52">
        <v>1</v>
      </c>
      <c r="K133" s="52" t="s">
        <v>33</v>
      </c>
      <c r="L133" s="52" t="s">
        <v>31</v>
      </c>
      <c r="M133" s="52" t="s">
        <v>441</v>
      </c>
      <c r="N133" s="54">
        <v>220000002574</v>
      </c>
      <c r="O133" s="52"/>
      <c r="P133" s="52"/>
      <c r="Q133" s="52"/>
      <c r="R133" s="52"/>
      <c r="S133" s="52"/>
      <c r="T133" s="52"/>
      <c r="U133" s="52"/>
      <c r="V133" s="52" t="s">
        <v>42</v>
      </c>
      <c r="W133" s="55">
        <v>396.5</v>
      </c>
      <c r="X133" s="56" t="e">
        <f>W133/#REF!</f>
        <v>#REF!</v>
      </c>
      <c r="Y133" s="40"/>
      <c r="Z133" s="51"/>
      <c r="AA133" s="57"/>
      <c r="AB133" s="58"/>
      <c r="AC133" s="19"/>
      <c r="AD133" s="19"/>
      <c r="AE133" s="19">
        <v>241125</v>
      </c>
      <c r="AF133" s="19" t="s">
        <v>360</v>
      </c>
      <c r="AG133" s="19"/>
      <c r="AH133" s="19"/>
    </row>
    <row r="134" spans="1:38" s="202" customFormat="1" ht="20.100000000000001" customHeight="1">
      <c r="A134" s="47" t="str">
        <f>"LAM"&amp;TEXT(ROW(A7),"000")</f>
        <v>LAM007</v>
      </c>
      <c r="B134" s="48" t="s">
        <v>1030</v>
      </c>
      <c r="C134" s="48"/>
      <c r="D134" s="48" t="s">
        <v>30</v>
      </c>
      <c r="E134" s="48" t="s">
        <v>31</v>
      </c>
      <c r="F134" s="48" t="s">
        <v>111</v>
      </c>
      <c r="G134" s="48" t="s">
        <v>53</v>
      </c>
      <c r="H134" s="48" t="s">
        <v>200</v>
      </c>
      <c r="I134" s="48" t="s">
        <v>32</v>
      </c>
      <c r="J134" s="48">
        <v>1</v>
      </c>
      <c r="K134" s="48" t="s">
        <v>1031</v>
      </c>
      <c r="L134" s="48" t="s">
        <v>1032</v>
      </c>
      <c r="M134" s="48"/>
      <c r="N134" s="48"/>
      <c r="O134" s="48"/>
      <c r="P134" s="48"/>
      <c r="Q134" s="48"/>
      <c r="R134" s="48"/>
      <c r="S134" s="48"/>
      <c r="T134" s="48"/>
      <c r="U134" s="48"/>
      <c r="V134" s="48" t="s">
        <v>42</v>
      </c>
      <c r="W134" s="48" t="s">
        <v>200</v>
      </c>
      <c r="X134" s="48" t="s">
        <v>200</v>
      </c>
      <c r="Y134" s="48"/>
      <c r="Z134" s="48"/>
      <c r="AA134" s="48"/>
      <c r="AB134" s="48"/>
      <c r="AC134" s="48"/>
      <c r="AD134" s="48"/>
      <c r="AE134" s="48" t="s">
        <v>675</v>
      </c>
      <c r="AF134" s="48" t="s">
        <v>35</v>
      </c>
      <c r="AG134" s="48" t="s">
        <v>864</v>
      </c>
      <c r="AH134" s="48"/>
    </row>
    <row r="135" spans="1:38" s="185" customFormat="1" ht="20.100000000000001" customHeight="1">
      <c r="A135" s="48" t="str">
        <f t="shared" ref="A135:A150" si="19">"L"&amp;TEXT(ROW(A127),"000")</f>
        <v>L127</v>
      </c>
      <c r="B135" s="197" t="s">
        <v>110</v>
      </c>
      <c r="C135" s="197">
        <v>29</v>
      </c>
      <c r="D135" s="197" t="s">
        <v>30</v>
      </c>
      <c r="E135" s="197" t="s">
        <v>31</v>
      </c>
      <c r="F135" s="163" t="s">
        <v>111</v>
      </c>
      <c r="G135" s="197" t="s">
        <v>649</v>
      </c>
      <c r="H135" s="197">
        <v>250903</v>
      </c>
      <c r="I135" s="197" t="s">
        <v>32</v>
      </c>
      <c r="J135" s="197">
        <v>1</v>
      </c>
      <c r="K135" s="197" t="s">
        <v>151</v>
      </c>
      <c r="L135" s="197" t="s">
        <v>200</v>
      </c>
      <c r="M135" s="197" t="s">
        <v>535</v>
      </c>
      <c r="N135" s="198" t="s">
        <v>536</v>
      </c>
      <c r="O135" s="197" t="s">
        <v>113</v>
      </c>
      <c r="P135" s="197" t="s">
        <v>114</v>
      </c>
      <c r="Q135" s="197" t="s">
        <v>537</v>
      </c>
      <c r="R135" s="197" t="s">
        <v>283</v>
      </c>
      <c r="S135" s="197" t="s">
        <v>66</v>
      </c>
      <c r="T135" s="197" t="s">
        <v>118</v>
      </c>
      <c r="U135" s="197" t="s">
        <v>119</v>
      </c>
      <c r="V135" s="197" t="s">
        <v>34</v>
      </c>
      <c r="W135" s="199"/>
      <c r="X135" s="197"/>
      <c r="Y135" s="197"/>
      <c r="Z135" s="197"/>
      <c r="AA135" s="197"/>
      <c r="AB135" s="197"/>
      <c r="AC135" s="197"/>
      <c r="AD135" s="197"/>
      <c r="AE135" s="197">
        <v>250903</v>
      </c>
      <c r="AF135" s="197" t="s">
        <v>35</v>
      </c>
      <c r="AG135" s="197"/>
      <c r="AH135" s="197"/>
    </row>
    <row r="136" spans="1:38" s="202" customFormat="1" ht="20.100000000000001" customHeight="1">
      <c r="A136" s="48" t="str">
        <f t="shared" si="19"/>
        <v>L128</v>
      </c>
      <c r="B136" s="18" t="s">
        <v>110</v>
      </c>
      <c r="C136" s="18">
        <v>30</v>
      </c>
      <c r="D136" s="18" t="s">
        <v>30</v>
      </c>
      <c r="E136" s="18" t="s">
        <v>31</v>
      </c>
      <c r="F136" s="201" t="s">
        <v>111</v>
      </c>
      <c r="G136" s="18" t="s">
        <v>650</v>
      </c>
      <c r="H136" s="18"/>
      <c r="I136" s="18" t="s">
        <v>32</v>
      </c>
      <c r="J136" s="18">
        <v>1</v>
      </c>
      <c r="K136" s="18" t="s">
        <v>229</v>
      </c>
      <c r="L136" s="18" t="s">
        <v>31</v>
      </c>
      <c r="M136" s="18" t="s">
        <v>275</v>
      </c>
      <c r="N136" s="17" t="s">
        <v>276</v>
      </c>
      <c r="O136" s="18" t="s">
        <v>277</v>
      </c>
      <c r="P136" s="18" t="s">
        <v>278</v>
      </c>
      <c r="Q136" s="18" t="s">
        <v>279</v>
      </c>
      <c r="R136" s="18" t="s">
        <v>280</v>
      </c>
      <c r="S136" s="18" t="s">
        <v>131</v>
      </c>
      <c r="T136" s="18" t="s">
        <v>118</v>
      </c>
      <c r="U136" s="18" t="s">
        <v>119</v>
      </c>
      <c r="V136" s="197" t="s">
        <v>34</v>
      </c>
      <c r="W136" s="22">
        <v>33800</v>
      </c>
      <c r="X136" s="23">
        <f t="shared" ref="X136:X144" si="20">W136/58</f>
        <v>582.75862068965512</v>
      </c>
      <c r="Y136" s="32"/>
      <c r="Z136" s="23"/>
      <c r="AA136" s="18"/>
      <c r="AB136" s="22">
        <f>Y136</f>
        <v>0</v>
      </c>
      <c r="AC136" s="18"/>
      <c r="AD136" s="18"/>
      <c r="AE136" s="18">
        <v>220902</v>
      </c>
      <c r="AF136" s="18" t="s">
        <v>35</v>
      </c>
      <c r="AG136" s="18" t="s">
        <v>281</v>
      </c>
      <c r="AH136" s="18">
        <v>250818</v>
      </c>
    </row>
    <row r="137" spans="1:38" s="196" customFormat="1" ht="20.100000000000001" customHeight="1">
      <c r="A137" s="48" t="str">
        <f t="shared" si="19"/>
        <v>L129</v>
      </c>
      <c r="B137" s="18" t="s">
        <v>110</v>
      </c>
      <c r="C137" s="18">
        <v>31</v>
      </c>
      <c r="D137" s="18" t="s">
        <v>30</v>
      </c>
      <c r="E137" s="18" t="s">
        <v>31</v>
      </c>
      <c r="F137" s="18" t="s">
        <v>111</v>
      </c>
      <c r="G137" s="18" t="s">
        <v>657</v>
      </c>
      <c r="H137" s="18">
        <v>241114</v>
      </c>
      <c r="I137" s="18" t="s">
        <v>32</v>
      </c>
      <c r="J137" s="18">
        <v>1</v>
      </c>
      <c r="K137" s="18" t="s">
        <v>112</v>
      </c>
      <c r="L137" s="18" t="s">
        <v>31</v>
      </c>
      <c r="M137" s="18" t="s">
        <v>241</v>
      </c>
      <c r="N137" s="17" t="s">
        <v>661</v>
      </c>
      <c r="O137" s="18" t="s">
        <v>113</v>
      </c>
      <c r="P137" s="18" t="s">
        <v>243</v>
      </c>
      <c r="Q137" s="18" t="s">
        <v>244</v>
      </c>
      <c r="R137" s="18" t="s">
        <v>257</v>
      </c>
      <c r="S137" s="18" t="s">
        <v>66</v>
      </c>
      <c r="T137" s="18" t="s">
        <v>118</v>
      </c>
      <c r="U137" s="18" t="s">
        <v>119</v>
      </c>
      <c r="V137" s="197" t="s">
        <v>34</v>
      </c>
      <c r="W137" s="22">
        <v>22562</v>
      </c>
      <c r="X137" s="161">
        <f t="shared" si="20"/>
        <v>389</v>
      </c>
      <c r="Y137" s="32"/>
      <c r="Z137" s="23"/>
      <c r="AA137" s="18"/>
      <c r="AB137" s="22">
        <f>Y137</f>
        <v>0</v>
      </c>
      <c r="AC137" s="18"/>
      <c r="AD137" s="18"/>
      <c r="AE137" s="18">
        <v>230328</v>
      </c>
      <c r="AF137" s="18" t="s">
        <v>35</v>
      </c>
      <c r="AG137" s="18"/>
      <c r="AH137" s="18"/>
      <c r="AI137" s="185"/>
      <c r="AJ137" s="185"/>
      <c r="AK137" s="185"/>
      <c r="AL137" s="185"/>
    </row>
    <row r="138" spans="1:38" s="196" customFormat="1" ht="20.100000000000001" customHeight="1">
      <c r="A138" s="48" t="str">
        <f t="shared" si="19"/>
        <v>L130</v>
      </c>
      <c r="B138" s="163" t="s">
        <v>110</v>
      </c>
      <c r="C138" s="163">
        <v>32</v>
      </c>
      <c r="D138" s="163" t="s">
        <v>30</v>
      </c>
      <c r="E138" s="163" t="s">
        <v>31</v>
      </c>
      <c r="F138" s="163" t="s">
        <v>111</v>
      </c>
      <c r="G138" s="163" t="s">
        <v>667</v>
      </c>
      <c r="H138" s="163">
        <v>241114</v>
      </c>
      <c r="I138" s="163" t="s">
        <v>32</v>
      </c>
      <c r="J138" s="163">
        <v>1</v>
      </c>
      <c r="K138" s="163" t="s">
        <v>251</v>
      </c>
      <c r="L138" s="163" t="s">
        <v>31</v>
      </c>
      <c r="M138" s="163" t="s">
        <v>666</v>
      </c>
      <c r="N138" s="164" t="s">
        <v>426</v>
      </c>
      <c r="O138" s="163" t="s">
        <v>113</v>
      </c>
      <c r="P138" s="163" t="s">
        <v>427</v>
      </c>
      <c r="Q138" s="163" t="s">
        <v>428</v>
      </c>
      <c r="R138" s="163" t="s">
        <v>257</v>
      </c>
      <c r="S138" s="163" t="s">
        <v>147</v>
      </c>
      <c r="T138" s="163" t="s">
        <v>118</v>
      </c>
      <c r="U138" s="163" t="s">
        <v>407</v>
      </c>
      <c r="V138" s="197" t="s">
        <v>34</v>
      </c>
      <c r="W138" s="165">
        <v>27995</v>
      </c>
      <c r="X138" s="166">
        <f t="shared" si="20"/>
        <v>482.67241379310343</v>
      </c>
      <c r="Y138" s="165"/>
      <c r="Z138" s="167"/>
      <c r="AA138" s="163"/>
      <c r="AB138" s="165">
        <f>Y138</f>
        <v>0</v>
      </c>
      <c r="AC138" s="163"/>
      <c r="AD138" s="163"/>
      <c r="AE138" s="163">
        <v>240117</v>
      </c>
      <c r="AF138" s="163" t="s">
        <v>35</v>
      </c>
      <c r="AG138" s="163" t="s">
        <v>429</v>
      </c>
      <c r="AH138" s="163">
        <v>250819</v>
      </c>
      <c r="AI138" s="185"/>
      <c r="AJ138" s="185"/>
      <c r="AK138" s="185"/>
      <c r="AL138" s="185"/>
    </row>
    <row r="139" spans="1:38" s="75" customFormat="1" ht="20.100000000000001" customHeight="1">
      <c r="A139" s="48" t="str">
        <f t="shared" si="19"/>
        <v>L131</v>
      </c>
      <c r="B139" s="18" t="s">
        <v>110</v>
      </c>
      <c r="C139" s="18">
        <v>33</v>
      </c>
      <c r="D139" s="18" t="s">
        <v>30</v>
      </c>
      <c r="E139" s="18" t="s">
        <v>31</v>
      </c>
      <c r="F139" s="18" t="s">
        <v>111</v>
      </c>
      <c r="G139" s="18" t="s">
        <v>658</v>
      </c>
      <c r="H139" s="18">
        <v>250129</v>
      </c>
      <c r="I139" s="18" t="s">
        <v>32</v>
      </c>
      <c r="J139" s="18">
        <v>1</v>
      </c>
      <c r="K139" s="18" t="s">
        <v>251</v>
      </c>
      <c r="L139" s="168" t="s">
        <v>31</v>
      </c>
      <c r="M139" s="168" t="s">
        <v>468</v>
      </c>
      <c r="N139" s="168" t="s">
        <v>469</v>
      </c>
      <c r="O139" s="168" t="s">
        <v>144</v>
      </c>
      <c r="P139" s="168" t="s">
        <v>470</v>
      </c>
      <c r="Q139" s="18" t="s">
        <v>471</v>
      </c>
      <c r="R139" s="18" t="s">
        <v>283</v>
      </c>
      <c r="S139" s="18" t="s">
        <v>147</v>
      </c>
      <c r="T139" s="18" t="s">
        <v>412</v>
      </c>
      <c r="U139" s="18" t="s">
        <v>148</v>
      </c>
      <c r="V139" s="197" t="s">
        <v>34</v>
      </c>
      <c r="W139" s="32">
        <v>0</v>
      </c>
      <c r="X139" s="161">
        <f t="shared" si="20"/>
        <v>0</v>
      </c>
      <c r="Y139" s="32">
        <v>250</v>
      </c>
      <c r="Z139" s="62" t="e">
        <f>Y139/#REF!</f>
        <v>#REF!</v>
      </c>
      <c r="AA139" s="18"/>
      <c r="AB139" s="113"/>
      <c r="AC139" s="18"/>
      <c r="AD139" s="18"/>
      <c r="AE139" s="18">
        <v>250129</v>
      </c>
      <c r="AF139" s="18" t="s">
        <v>35</v>
      </c>
      <c r="AG139" s="18"/>
      <c r="AH139" s="18"/>
    </row>
    <row r="140" spans="1:38" s="185" customFormat="1" ht="20.100000000000001" customHeight="1">
      <c r="A140" s="48" t="str">
        <f t="shared" si="19"/>
        <v>L132</v>
      </c>
      <c r="B140" s="18" t="s">
        <v>110</v>
      </c>
      <c r="C140" s="18">
        <v>34</v>
      </c>
      <c r="D140" s="18" t="s">
        <v>30</v>
      </c>
      <c r="E140" s="18" t="s">
        <v>31</v>
      </c>
      <c r="F140" s="18" t="s">
        <v>111</v>
      </c>
      <c r="G140" s="18" t="s">
        <v>664</v>
      </c>
      <c r="H140" s="18">
        <v>241003</v>
      </c>
      <c r="I140" s="18" t="s">
        <v>32</v>
      </c>
      <c r="J140" s="18">
        <v>1</v>
      </c>
      <c r="K140" s="18" t="s">
        <v>112</v>
      </c>
      <c r="L140" s="18" t="s">
        <v>31</v>
      </c>
      <c r="M140" s="18" t="s">
        <v>662</v>
      </c>
      <c r="N140" s="17" t="s">
        <v>663</v>
      </c>
      <c r="O140" s="18" t="s">
        <v>113</v>
      </c>
      <c r="P140" s="18" t="s">
        <v>114</v>
      </c>
      <c r="Q140" s="18" t="s">
        <v>115</v>
      </c>
      <c r="R140" s="18" t="s">
        <v>116</v>
      </c>
      <c r="S140" s="18" t="s">
        <v>117</v>
      </c>
      <c r="T140" s="18" t="s">
        <v>118</v>
      </c>
      <c r="U140" s="18" t="s">
        <v>119</v>
      </c>
      <c r="V140" s="197" t="s">
        <v>34</v>
      </c>
      <c r="W140" s="22">
        <v>34062</v>
      </c>
      <c r="X140" s="23">
        <f t="shared" si="20"/>
        <v>587.27586206896547</v>
      </c>
      <c r="Y140" s="32"/>
      <c r="Z140" s="23"/>
      <c r="AA140" s="18"/>
      <c r="AB140" s="22">
        <f>Y140</f>
        <v>0</v>
      </c>
      <c r="AC140" s="18"/>
      <c r="AD140" s="18"/>
      <c r="AE140" s="18">
        <v>221213</v>
      </c>
      <c r="AF140" s="18" t="s">
        <v>35</v>
      </c>
      <c r="AG140" s="18" t="s">
        <v>120</v>
      </c>
      <c r="AH140" s="18">
        <v>250514</v>
      </c>
    </row>
    <row r="141" spans="1:38" s="185" customFormat="1" ht="20.100000000000001" customHeight="1">
      <c r="A141" s="48" t="str">
        <f t="shared" si="19"/>
        <v>L133</v>
      </c>
      <c r="B141" s="17" t="s">
        <v>110</v>
      </c>
      <c r="C141" s="18">
        <v>35</v>
      </c>
      <c r="D141" s="18" t="s">
        <v>30</v>
      </c>
      <c r="E141" s="18" t="s">
        <v>31</v>
      </c>
      <c r="F141" s="18" t="s">
        <v>111</v>
      </c>
      <c r="G141" s="204" t="s">
        <v>665</v>
      </c>
      <c r="H141" s="18">
        <v>240625</v>
      </c>
      <c r="I141" s="18" t="s">
        <v>32</v>
      </c>
      <c r="J141" s="18">
        <v>1</v>
      </c>
      <c r="K141" s="18" t="s">
        <v>37</v>
      </c>
      <c r="L141" s="18" t="s">
        <v>284</v>
      </c>
      <c r="M141" s="18" t="s">
        <v>285</v>
      </c>
      <c r="N141" s="17" t="s">
        <v>446</v>
      </c>
      <c r="O141" s="18" t="s">
        <v>254</v>
      </c>
      <c r="P141" s="18" t="s">
        <v>266</v>
      </c>
      <c r="Q141" s="18" t="s">
        <v>256</v>
      </c>
      <c r="R141" s="18" t="s">
        <v>283</v>
      </c>
      <c r="S141" s="18" t="s">
        <v>131</v>
      </c>
      <c r="T141" s="18" t="s">
        <v>118</v>
      </c>
      <c r="U141" s="18" t="s">
        <v>237</v>
      </c>
      <c r="V141" s="203" t="s">
        <v>34</v>
      </c>
      <c r="W141" s="32">
        <v>36999</v>
      </c>
      <c r="X141" s="161">
        <f t="shared" si="20"/>
        <v>637.91379310344826</v>
      </c>
      <c r="Y141" s="61">
        <v>6500</v>
      </c>
      <c r="Z141" s="112" t="e">
        <f>Y141/#REF!</f>
        <v>#REF!</v>
      </c>
      <c r="AA141" s="113"/>
      <c r="AB141" s="114">
        <v>0</v>
      </c>
      <c r="AC141" s="18"/>
      <c r="AD141" s="18"/>
      <c r="AE141" s="18">
        <v>240625</v>
      </c>
      <c r="AF141" s="18" t="s">
        <v>360</v>
      </c>
      <c r="AG141" s="115"/>
      <c r="AH141" s="115"/>
    </row>
    <row r="142" spans="1:38" s="185" customFormat="1" ht="20.100000000000001" customHeight="1">
      <c r="A142" s="48" t="str">
        <f t="shared" si="19"/>
        <v>L134</v>
      </c>
      <c r="B142" s="18" t="s">
        <v>110</v>
      </c>
      <c r="C142" s="18">
        <v>36</v>
      </c>
      <c r="D142" s="18" t="s">
        <v>30</v>
      </c>
      <c r="E142" s="18" t="s">
        <v>31</v>
      </c>
      <c r="F142" s="18" t="s">
        <v>111</v>
      </c>
      <c r="G142" s="18" t="s">
        <v>659</v>
      </c>
      <c r="H142" s="18">
        <v>250304</v>
      </c>
      <c r="I142" s="18" t="s">
        <v>69</v>
      </c>
      <c r="J142" s="18">
        <v>1</v>
      </c>
      <c r="K142" s="18" t="s">
        <v>251</v>
      </c>
      <c r="L142" s="18" t="s">
        <v>31</v>
      </c>
      <c r="M142" s="18" t="s">
        <v>666</v>
      </c>
      <c r="N142" s="17" t="s">
        <v>660</v>
      </c>
      <c r="O142" s="18" t="s">
        <v>113</v>
      </c>
      <c r="P142" s="18" t="s">
        <v>474</v>
      </c>
      <c r="Q142" s="18" t="s">
        <v>475</v>
      </c>
      <c r="R142" s="18" t="s">
        <v>283</v>
      </c>
      <c r="S142" s="18" t="s">
        <v>66</v>
      </c>
      <c r="T142" s="18" t="s">
        <v>118</v>
      </c>
      <c r="U142" s="18" t="s">
        <v>476</v>
      </c>
      <c r="V142" s="197" t="s">
        <v>34</v>
      </c>
      <c r="W142" s="22">
        <v>24000</v>
      </c>
      <c r="X142" s="112">
        <f t="shared" si="20"/>
        <v>413.79310344827587</v>
      </c>
      <c r="Y142" s="61">
        <v>500</v>
      </c>
      <c r="Z142" s="62">
        <f>Y142/58</f>
        <v>8.6206896551724146</v>
      </c>
      <c r="AA142" s="18" t="s">
        <v>477</v>
      </c>
      <c r="AB142" s="18"/>
      <c r="AC142" s="18"/>
      <c r="AD142" s="18"/>
      <c r="AE142" s="18">
        <v>250304</v>
      </c>
      <c r="AF142" s="18" t="s">
        <v>35</v>
      </c>
      <c r="AG142" s="18"/>
      <c r="AH142" s="18">
        <v>250304</v>
      </c>
    </row>
    <row r="143" spans="1:38" s="185" customFormat="1" ht="20.100000000000001" customHeight="1">
      <c r="A143" s="48" t="str">
        <f t="shared" si="19"/>
        <v>L135</v>
      </c>
      <c r="B143" s="25" t="s">
        <v>110</v>
      </c>
      <c r="C143" s="25">
        <v>23</v>
      </c>
      <c r="D143" s="25" t="s">
        <v>30</v>
      </c>
      <c r="E143" s="25" t="s">
        <v>31</v>
      </c>
      <c r="F143" s="25" t="s">
        <v>111</v>
      </c>
      <c r="G143" s="25" t="s">
        <v>53</v>
      </c>
      <c r="H143" s="25"/>
      <c r="I143" s="25" t="s">
        <v>32</v>
      </c>
      <c r="J143" s="25">
        <v>1</v>
      </c>
      <c r="K143" s="25" t="s">
        <v>63</v>
      </c>
      <c r="L143" s="25" t="s">
        <v>31</v>
      </c>
      <c r="M143" s="25" t="s">
        <v>142</v>
      </c>
      <c r="N143" s="24" t="s">
        <v>282</v>
      </c>
      <c r="O143" s="25" t="s">
        <v>144</v>
      </c>
      <c r="P143" s="25" t="s">
        <v>145</v>
      </c>
      <c r="Q143" s="25" t="s">
        <v>146</v>
      </c>
      <c r="R143" s="25" t="s">
        <v>283</v>
      </c>
      <c r="S143" s="25" t="s">
        <v>147</v>
      </c>
      <c r="T143" s="25" t="s">
        <v>118</v>
      </c>
      <c r="U143" s="25" t="s">
        <v>258</v>
      </c>
      <c r="V143" s="25" t="s">
        <v>42</v>
      </c>
      <c r="W143" s="33">
        <v>26000</v>
      </c>
      <c r="X143" s="31">
        <f t="shared" si="20"/>
        <v>448.27586206896552</v>
      </c>
      <c r="Y143" s="33"/>
      <c r="Z143" s="31"/>
      <c r="AA143" s="25"/>
      <c r="AB143" s="33">
        <f>Y143</f>
        <v>0</v>
      </c>
      <c r="AC143" s="25"/>
      <c r="AD143" s="25"/>
      <c r="AE143" s="25">
        <v>240117</v>
      </c>
      <c r="AF143" s="25" t="s">
        <v>35</v>
      </c>
      <c r="AG143" s="25" t="s">
        <v>1129</v>
      </c>
      <c r="AH143" s="25">
        <v>251205</v>
      </c>
    </row>
    <row r="144" spans="1:38" s="185" customFormat="1" ht="20.100000000000001" customHeight="1">
      <c r="A144" s="48" t="str">
        <f t="shared" si="19"/>
        <v>L136</v>
      </c>
      <c r="B144" s="25" t="s">
        <v>110</v>
      </c>
      <c r="C144" s="25">
        <v>27</v>
      </c>
      <c r="D144" s="25" t="s">
        <v>30</v>
      </c>
      <c r="E144" s="25" t="s">
        <v>31</v>
      </c>
      <c r="F144" s="34" t="s">
        <v>111</v>
      </c>
      <c r="G144" s="75" t="s">
        <v>53</v>
      </c>
      <c r="H144" s="25"/>
      <c r="I144" s="25" t="s">
        <v>32</v>
      </c>
      <c r="J144" s="25">
        <v>1</v>
      </c>
      <c r="K144" s="25" t="s">
        <v>63</v>
      </c>
      <c r="L144" s="25" t="s">
        <v>31</v>
      </c>
      <c r="M144" s="25" t="s">
        <v>269</v>
      </c>
      <c r="N144" s="24" t="s">
        <v>270</v>
      </c>
      <c r="O144" s="25" t="s">
        <v>113</v>
      </c>
      <c r="P144" s="25" t="s">
        <v>271</v>
      </c>
      <c r="Q144" s="25" t="s">
        <v>272</v>
      </c>
      <c r="R144" s="25" t="s">
        <v>273</v>
      </c>
      <c r="S144" s="25" t="s">
        <v>147</v>
      </c>
      <c r="T144" s="25" t="s">
        <v>118</v>
      </c>
      <c r="U144" s="25" t="s">
        <v>258</v>
      </c>
      <c r="V144" s="25" t="s">
        <v>42</v>
      </c>
      <c r="W144" s="33">
        <v>27143</v>
      </c>
      <c r="X144" s="31">
        <f t="shared" si="20"/>
        <v>467.98275862068965</v>
      </c>
      <c r="Y144" s="33"/>
      <c r="Z144" s="31"/>
      <c r="AA144" s="25"/>
      <c r="AB144" s="33">
        <f>Y144</f>
        <v>0</v>
      </c>
      <c r="AC144" s="25"/>
      <c r="AD144" s="25"/>
      <c r="AE144" s="25">
        <v>220903</v>
      </c>
      <c r="AF144" s="25" t="s">
        <v>35</v>
      </c>
      <c r="AG144" s="25" t="s">
        <v>1127</v>
      </c>
      <c r="AH144" s="25">
        <v>251223</v>
      </c>
    </row>
    <row r="145" spans="1:38" s="156" customFormat="1" ht="40.5" customHeight="1">
      <c r="A145" s="48" t="str">
        <f t="shared" si="19"/>
        <v>L137</v>
      </c>
      <c r="B145" s="25" t="s">
        <v>110</v>
      </c>
      <c r="C145" s="48">
        <v>21</v>
      </c>
      <c r="D145" s="48" t="s">
        <v>30</v>
      </c>
      <c r="E145" s="25" t="s">
        <v>31</v>
      </c>
      <c r="F145" s="25" t="s">
        <v>111</v>
      </c>
      <c r="G145" s="48" t="s">
        <v>53</v>
      </c>
      <c r="H145" s="48">
        <v>251103</v>
      </c>
      <c r="I145" s="48" t="s">
        <v>32</v>
      </c>
      <c r="J145" s="48">
        <v>1</v>
      </c>
      <c r="K145" s="48" t="s">
        <v>151</v>
      </c>
      <c r="L145" s="48" t="s">
        <v>284</v>
      </c>
      <c r="M145" s="48" t="s">
        <v>628</v>
      </c>
      <c r="N145" s="48" t="s">
        <v>629</v>
      </c>
      <c r="O145" s="48" t="s">
        <v>113</v>
      </c>
      <c r="P145" s="48" t="s">
        <v>456</v>
      </c>
      <c r="Q145" s="48" t="s">
        <v>630</v>
      </c>
      <c r="R145" s="48" t="s">
        <v>283</v>
      </c>
      <c r="S145" s="48" t="s">
        <v>131</v>
      </c>
      <c r="T145" s="48" t="s">
        <v>118</v>
      </c>
      <c r="U145" s="48" t="s">
        <v>258</v>
      </c>
      <c r="V145" s="48" t="s">
        <v>42</v>
      </c>
      <c r="W145" s="48"/>
      <c r="X145" s="48"/>
      <c r="Y145" s="48"/>
      <c r="Z145" s="48"/>
      <c r="AA145" s="48"/>
      <c r="AB145" s="48"/>
      <c r="AC145" s="48"/>
      <c r="AD145" s="48"/>
      <c r="AE145" s="48">
        <v>251103</v>
      </c>
      <c r="AF145" s="48" t="s">
        <v>360</v>
      </c>
      <c r="AG145" s="48" t="s">
        <v>609</v>
      </c>
      <c r="AH145" s="48"/>
      <c r="AI145" s="185"/>
      <c r="AJ145" s="185"/>
      <c r="AK145" s="185"/>
      <c r="AL145" s="185"/>
    </row>
    <row r="146" spans="1:38" s="109" customFormat="1" ht="20.100000000000001" customHeight="1">
      <c r="A146" s="48" t="str">
        <f t="shared" si="19"/>
        <v>L138</v>
      </c>
      <c r="B146" s="25" t="s">
        <v>110</v>
      </c>
      <c r="C146" s="48">
        <v>22</v>
      </c>
      <c r="D146" s="48" t="s">
        <v>30</v>
      </c>
      <c r="E146" s="25" t="s">
        <v>31</v>
      </c>
      <c r="F146" s="25" t="s">
        <v>111</v>
      </c>
      <c r="G146" s="48" t="s">
        <v>53</v>
      </c>
      <c r="H146" s="48">
        <v>251103</v>
      </c>
      <c r="I146" s="48" t="s">
        <v>32</v>
      </c>
      <c r="J146" s="48">
        <v>1</v>
      </c>
      <c r="K146" s="48" t="s">
        <v>151</v>
      </c>
      <c r="L146" s="48" t="s">
        <v>284</v>
      </c>
      <c r="M146" s="48" t="s">
        <v>628</v>
      </c>
      <c r="N146" s="48" t="s">
        <v>631</v>
      </c>
      <c r="O146" s="48" t="s">
        <v>113</v>
      </c>
      <c r="P146" s="48" t="s">
        <v>456</v>
      </c>
      <c r="Q146" s="48" t="s">
        <v>630</v>
      </c>
      <c r="R146" s="48" t="s">
        <v>283</v>
      </c>
      <c r="S146" s="48" t="s">
        <v>131</v>
      </c>
      <c r="T146" s="48" t="s">
        <v>118</v>
      </c>
      <c r="U146" s="48" t="s">
        <v>258</v>
      </c>
      <c r="V146" s="48" t="s">
        <v>42</v>
      </c>
      <c r="W146" s="48"/>
      <c r="X146" s="48"/>
      <c r="Y146" s="48"/>
      <c r="Z146" s="48"/>
      <c r="AA146" s="48"/>
      <c r="AB146" s="48"/>
      <c r="AC146" s="48"/>
      <c r="AD146" s="48"/>
      <c r="AE146" s="48">
        <v>251103</v>
      </c>
      <c r="AF146" s="48" t="s">
        <v>360</v>
      </c>
      <c r="AG146" s="48" t="s">
        <v>609</v>
      </c>
      <c r="AH146" s="48"/>
      <c r="AI146" s="184"/>
      <c r="AJ146" s="184"/>
      <c r="AK146" s="184"/>
      <c r="AL146" s="184"/>
    </row>
    <row r="147" spans="1:38" s="48" customFormat="1" ht="20.100000000000001" customHeight="1">
      <c r="A147" s="48" t="str">
        <f t="shared" si="19"/>
        <v>L139</v>
      </c>
      <c r="B147" s="25" t="s">
        <v>110</v>
      </c>
      <c r="C147" s="25">
        <v>23</v>
      </c>
      <c r="D147" s="25" t="s">
        <v>30</v>
      </c>
      <c r="E147" s="25" t="s">
        <v>31</v>
      </c>
      <c r="F147" s="25" t="s">
        <v>111</v>
      </c>
      <c r="G147" s="25" t="s">
        <v>53</v>
      </c>
      <c r="H147" s="25">
        <v>241003</v>
      </c>
      <c r="I147" s="25" t="s">
        <v>32</v>
      </c>
      <c r="J147" s="25">
        <v>1</v>
      </c>
      <c r="K147" s="25" t="s">
        <v>63</v>
      </c>
      <c r="L147" s="25" t="s">
        <v>31</v>
      </c>
      <c r="M147" s="25" t="s">
        <v>142</v>
      </c>
      <c r="N147" s="24" t="s">
        <v>143</v>
      </c>
      <c r="O147" s="25" t="s">
        <v>144</v>
      </c>
      <c r="P147" s="25" t="s">
        <v>145</v>
      </c>
      <c r="Q147" s="25" t="s">
        <v>146</v>
      </c>
      <c r="R147" s="25" t="s">
        <v>116</v>
      </c>
      <c r="S147" s="25" t="s">
        <v>147</v>
      </c>
      <c r="T147" s="25" t="s">
        <v>118</v>
      </c>
      <c r="U147" s="25" t="s">
        <v>148</v>
      </c>
      <c r="V147" s="25" t="s">
        <v>42</v>
      </c>
      <c r="W147" s="33">
        <v>22040</v>
      </c>
      <c r="X147" s="31">
        <f t="shared" ref="X147:X158" si="21">W147/58</f>
        <v>380</v>
      </c>
      <c r="Y147" s="28"/>
      <c r="Z147" s="31"/>
      <c r="AA147" s="25"/>
      <c r="AB147" s="33">
        <f t="shared" ref="AB147:AB161" si="22">Y147</f>
        <v>0</v>
      </c>
      <c r="AC147" s="25"/>
      <c r="AD147" s="25"/>
      <c r="AE147" s="25">
        <v>230328</v>
      </c>
      <c r="AF147" s="25" t="s">
        <v>35</v>
      </c>
      <c r="AG147" s="25" t="s">
        <v>149</v>
      </c>
      <c r="AH147" s="25">
        <v>250820</v>
      </c>
    </row>
    <row r="148" spans="1:38" s="187" customFormat="1" ht="20.100000000000001" customHeight="1">
      <c r="A148" s="48" t="str">
        <f t="shared" si="19"/>
        <v>L140</v>
      </c>
      <c r="B148" s="25" t="s">
        <v>110</v>
      </c>
      <c r="C148" s="25">
        <v>24</v>
      </c>
      <c r="D148" s="25" t="s">
        <v>30</v>
      </c>
      <c r="E148" s="25" t="s">
        <v>31</v>
      </c>
      <c r="F148" s="25" t="s">
        <v>111</v>
      </c>
      <c r="G148" s="25" t="s">
        <v>99</v>
      </c>
      <c r="H148" s="25">
        <v>241114</v>
      </c>
      <c r="I148" s="25" t="s">
        <v>32</v>
      </c>
      <c r="J148" s="25">
        <v>1</v>
      </c>
      <c r="K148" s="25" t="s">
        <v>112</v>
      </c>
      <c r="L148" s="25" t="s">
        <v>31</v>
      </c>
      <c r="M148" s="25" t="s">
        <v>241</v>
      </c>
      <c r="N148" s="24" t="s">
        <v>242</v>
      </c>
      <c r="O148" s="25" t="s">
        <v>113</v>
      </c>
      <c r="P148" s="25" t="s">
        <v>243</v>
      </c>
      <c r="Q148" s="25" t="s">
        <v>244</v>
      </c>
      <c r="R148" s="25" t="s">
        <v>245</v>
      </c>
      <c r="S148" s="25" t="s">
        <v>66</v>
      </c>
      <c r="T148" s="25" t="s">
        <v>118</v>
      </c>
      <c r="U148" s="25" t="s">
        <v>119</v>
      </c>
      <c r="V148" s="25" t="s">
        <v>42</v>
      </c>
      <c r="W148" s="33">
        <v>22562</v>
      </c>
      <c r="X148" s="31">
        <f t="shared" si="21"/>
        <v>389</v>
      </c>
      <c r="Y148" s="28"/>
      <c r="Z148" s="31"/>
      <c r="AA148" s="25"/>
      <c r="AB148" s="33">
        <f t="shared" si="22"/>
        <v>0</v>
      </c>
      <c r="AC148" s="25"/>
      <c r="AD148" s="25"/>
      <c r="AE148" s="25">
        <v>230328</v>
      </c>
      <c r="AF148" s="25" t="s">
        <v>35</v>
      </c>
      <c r="AG148" s="25"/>
      <c r="AH148" s="25"/>
    </row>
    <row r="149" spans="1:38" s="187" customFormat="1" ht="20.100000000000001" customHeight="1">
      <c r="A149" s="48" t="str">
        <f t="shared" si="19"/>
        <v>L141</v>
      </c>
      <c r="B149" s="25" t="s">
        <v>110</v>
      </c>
      <c r="C149" s="25">
        <v>25</v>
      </c>
      <c r="D149" s="25" t="s">
        <v>30</v>
      </c>
      <c r="E149" s="25" t="s">
        <v>31</v>
      </c>
      <c r="F149" s="48" t="s">
        <v>111</v>
      </c>
      <c r="G149" s="25" t="s">
        <v>651</v>
      </c>
      <c r="H149" s="25">
        <v>241114</v>
      </c>
      <c r="I149" s="25" t="s">
        <v>32</v>
      </c>
      <c r="J149" s="25">
        <v>1</v>
      </c>
      <c r="K149" s="25" t="s">
        <v>63</v>
      </c>
      <c r="L149" s="25" t="s">
        <v>31</v>
      </c>
      <c r="M149" s="25" t="s">
        <v>425</v>
      </c>
      <c r="N149" s="24" t="s">
        <v>430</v>
      </c>
      <c r="O149" s="25" t="s">
        <v>113</v>
      </c>
      <c r="P149" s="25" t="s">
        <v>427</v>
      </c>
      <c r="Q149" s="25" t="s">
        <v>428</v>
      </c>
      <c r="R149" s="25" t="s">
        <v>257</v>
      </c>
      <c r="S149" s="25" t="s">
        <v>131</v>
      </c>
      <c r="T149" s="25" t="s">
        <v>118</v>
      </c>
      <c r="U149" s="25" t="s">
        <v>407</v>
      </c>
      <c r="V149" s="25" t="s">
        <v>42</v>
      </c>
      <c r="W149" s="33">
        <v>27995</v>
      </c>
      <c r="X149" s="160">
        <f t="shared" si="21"/>
        <v>482.67241379310343</v>
      </c>
      <c r="Y149" s="33"/>
      <c r="Z149" s="31"/>
      <c r="AA149" s="25"/>
      <c r="AB149" s="33">
        <f t="shared" si="22"/>
        <v>0</v>
      </c>
      <c r="AC149" s="25"/>
      <c r="AD149" s="25"/>
      <c r="AE149" s="25">
        <v>240117</v>
      </c>
      <c r="AF149" s="25" t="s">
        <v>35</v>
      </c>
      <c r="AG149" s="25" t="s">
        <v>431</v>
      </c>
      <c r="AH149" s="25">
        <v>250818</v>
      </c>
    </row>
    <row r="150" spans="1:38" s="48" customFormat="1" ht="20.100000000000001" customHeight="1">
      <c r="A150" s="48" t="str">
        <f t="shared" si="19"/>
        <v>L142</v>
      </c>
      <c r="B150" s="75" t="s">
        <v>110</v>
      </c>
      <c r="C150" s="75">
        <v>26</v>
      </c>
      <c r="D150" s="75" t="s">
        <v>30</v>
      </c>
      <c r="E150" s="75" t="s">
        <v>31</v>
      </c>
      <c r="F150" s="75" t="s">
        <v>111</v>
      </c>
      <c r="G150" s="75" t="s">
        <v>53</v>
      </c>
      <c r="H150" s="75"/>
      <c r="I150" s="25" t="s">
        <v>32</v>
      </c>
      <c r="J150" s="75">
        <v>1</v>
      </c>
      <c r="K150" s="75" t="s">
        <v>251</v>
      </c>
      <c r="L150" s="75" t="s">
        <v>31</v>
      </c>
      <c r="M150" s="75" t="s">
        <v>252</v>
      </c>
      <c r="N150" s="74" t="s">
        <v>253</v>
      </c>
      <c r="O150" s="75" t="s">
        <v>254</v>
      </c>
      <c r="P150" s="75" t="s">
        <v>255</v>
      </c>
      <c r="Q150" s="75" t="s">
        <v>256</v>
      </c>
      <c r="R150" s="75" t="s">
        <v>257</v>
      </c>
      <c r="S150" s="75" t="s">
        <v>147</v>
      </c>
      <c r="T150" s="75" t="s">
        <v>118</v>
      </c>
      <c r="U150" s="75" t="s">
        <v>258</v>
      </c>
      <c r="V150" s="75" t="s">
        <v>42</v>
      </c>
      <c r="W150" s="80">
        <v>58522</v>
      </c>
      <c r="X150" s="79">
        <f t="shared" si="21"/>
        <v>1009</v>
      </c>
      <c r="Y150" s="78"/>
      <c r="Z150" s="79"/>
      <c r="AA150" s="75"/>
      <c r="AB150" s="80">
        <f t="shared" si="22"/>
        <v>0</v>
      </c>
      <c r="AC150" s="75"/>
      <c r="AD150" s="75"/>
      <c r="AE150" s="75">
        <v>220421</v>
      </c>
      <c r="AF150" s="75" t="s">
        <v>35</v>
      </c>
      <c r="AG150" s="75" t="s">
        <v>642</v>
      </c>
      <c r="AH150" s="75">
        <v>251103</v>
      </c>
    </row>
    <row r="151" spans="1:38" s="184" customFormat="1" ht="20.100000000000001" customHeight="1">
      <c r="A151" s="38" t="str">
        <f>"ENC"&amp;TEXT(ROW(A3),"000")</f>
        <v>ENC003</v>
      </c>
      <c r="B151" s="19" t="s">
        <v>410</v>
      </c>
      <c r="C151" s="19">
        <v>0</v>
      </c>
      <c r="D151" s="25" t="s">
        <v>30</v>
      </c>
      <c r="E151" s="19" t="s">
        <v>31</v>
      </c>
      <c r="F151" s="25" t="s">
        <v>111</v>
      </c>
      <c r="G151" s="19" t="s">
        <v>53</v>
      </c>
      <c r="H151" s="19">
        <v>241114</v>
      </c>
      <c r="I151" s="19" t="s">
        <v>32</v>
      </c>
      <c r="J151" s="19">
        <v>1</v>
      </c>
      <c r="K151" s="19" t="s">
        <v>411</v>
      </c>
      <c r="L151" s="19" t="s">
        <v>31</v>
      </c>
      <c r="M151" s="19" t="s">
        <v>200</v>
      </c>
      <c r="N151" s="38" t="s">
        <v>200</v>
      </c>
      <c r="O151" s="19"/>
      <c r="P151" s="19"/>
      <c r="Q151" s="19"/>
      <c r="R151" s="19"/>
      <c r="S151" s="19"/>
      <c r="T151" s="19" t="s">
        <v>412</v>
      </c>
      <c r="U151" s="19" t="s">
        <v>258</v>
      </c>
      <c r="V151" s="19" t="s">
        <v>42</v>
      </c>
      <c r="W151" s="39">
        <v>3264</v>
      </c>
      <c r="X151" s="44">
        <f t="shared" si="21"/>
        <v>56.275862068965516</v>
      </c>
      <c r="Y151" s="43"/>
      <c r="Z151" s="41"/>
      <c r="AA151" s="19"/>
      <c r="AB151" s="30">
        <f t="shared" si="22"/>
        <v>0</v>
      </c>
      <c r="AC151" s="19"/>
      <c r="AD151" s="19"/>
      <c r="AE151" s="19" t="s">
        <v>43</v>
      </c>
      <c r="AF151" s="19" t="s">
        <v>35</v>
      </c>
      <c r="AG151" s="19"/>
      <c r="AH151" s="19"/>
    </row>
    <row r="152" spans="1:38" s="184" customFormat="1" ht="20.100000000000001" customHeight="1">
      <c r="A152" s="48" t="str">
        <f t="shared" ref="A152:A159" si="23">"M"&amp;TEXT(ROW(A134),"000")</f>
        <v>M134</v>
      </c>
      <c r="B152" s="25" t="s">
        <v>36</v>
      </c>
      <c r="C152" s="25">
        <v>10</v>
      </c>
      <c r="D152" s="25" t="s">
        <v>30</v>
      </c>
      <c r="E152" s="25" t="s">
        <v>31</v>
      </c>
      <c r="F152" s="25" t="s">
        <v>111</v>
      </c>
      <c r="G152" s="25" t="s">
        <v>53</v>
      </c>
      <c r="H152" s="25">
        <v>241004</v>
      </c>
      <c r="I152" s="25" t="s">
        <v>32</v>
      </c>
      <c r="J152" s="25">
        <v>1</v>
      </c>
      <c r="K152" s="25" t="s">
        <v>63</v>
      </c>
      <c r="L152" s="25" t="s">
        <v>31</v>
      </c>
      <c r="M152" s="25" t="s">
        <v>161</v>
      </c>
      <c r="N152" s="24" t="s">
        <v>162</v>
      </c>
      <c r="O152" s="25" t="s">
        <v>153</v>
      </c>
      <c r="P152" s="25"/>
      <c r="Q152" s="25" t="s">
        <v>154</v>
      </c>
      <c r="R152" s="25"/>
      <c r="S152" s="25"/>
      <c r="T152" s="25"/>
      <c r="U152" s="25"/>
      <c r="V152" s="25" t="s">
        <v>42</v>
      </c>
      <c r="W152" s="33">
        <v>17400</v>
      </c>
      <c r="X152" s="31">
        <f t="shared" si="21"/>
        <v>300</v>
      </c>
      <c r="Y152" s="28"/>
      <c r="Z152" s="31"/>
      <c r="AA152" s="25"/>
      <c r="AB152" s="33">
        <f t="shared" si="22"/>
        <v>0</v>
      </c>
      <c r="AC152" s="25"/>
      <c r="AD152" s="25"/>
      <c r="AE152" s="25">
        <v>220912</v>
      </c>
      <c r="AF152" s="25" t="s">
        <v>35</v>
      </c>
      <c r="AG152" s="25" t="s">
        <v>383</v>
      </c>
      <c r="AH152" s="25">
        <v>251215</v>
      </c>
    </row>
    <row r="153" spans="1:38" s="186" customFormat="1" ht="20.100000000000001" customHeight="1">
      <c r="A153" s="48" t="str">
        <f t="shared" si="23"/>
        <v>M135</v>
      </c>
      <c r="B153" s="34" t="s">
        <v>36</v>
      </c>
      <c r="C153" s="25">
        <v>16</v>
      </c>
      <c r="D153" s="25" t="s">
        <v>30</v>
      </c>
      <c r="E153" s="25" t="s">
        <v>31</v>
      </c>
      <c r="F153" s="25" t="s">
        <v>111</v>
      </c>
      <c r="G153" s="25" t="s">
        <v>676</v>
      </c>
      <c r="H153" s="25">
        <v>241004</v>
      </c>
      <c r="I153" s="25" t="s">
        <v>32</v>
      </c>
      <c r="J153" s="25">
        <v>1</v>
      </c>
      <c r="K153" s="34" t="s">
        <v>212</v>
      </c>
      <c r="L153" s="34" t="s">
        <v>31</v>
      </c>
      <c r="M153" s="34" t="s">
        <v>213</v>
      </c>
      <c r="N153" s="35" t="s">
        <v>214</v>
      </c>
      <c r="O153" s="34" t="s">
        <v>215</v>
      </c>
      <c r="P153" s="34"/>
      <c r="Q153" s="34" t="s">
        <v>216</v>
      </c>
      <c r="R153" s="34"/>
      <c r="S153" s="34"/>
      <c r="T153" s="34"/>
      <c r="U153" s="34"/>
      <c r="V153" s="34"/>
      <c r="W153" s="116">
        <v>8062</v>
      </c>
      <c r="X153" s="31">
        <f t="shared" si="21"/>
        <v>139</v>
      </c>
      <c r="Y153" s="28"/>
      <c r="Z153" s="31"/>
      <c r="AA153" s="34"/>
      <c r="AB153" s="30">
        <f t="shared" si="22"/>
        <v>0</v>
      </c>
      <c r="AC153" s="25"/>
      <c r="AD153" s="25"/>
      <c r="AE153" s="25">
        <v>240308</v>
      </c>
      <c r="AF153" s="25" t="s">
        <v>35</v>
      </c>
      <c r="AG153" s="25"/>
      <c r="AH153" s="25"/>
      <c r="AI153" s="185"/>
      <c r="AJ153" s="185"/>
      <c r="AK153" s="185"/>
      <c r="AL153" s="185"/>
    </row>
    <row r="154" spans="1:38" s="185" customFormat="1" ht="20.100000000000001" customHeight="1">
      <c r="A154" s="48" t="str">
        <f t="shared" si="23"/>
        <v>M136</v>
      </c>
      <c r="B154" s="34" t="s">
        <v>36</v>
      </c>
      <c r="C154" s="25">
        <v>17</v>
      </c>
      <c r="D154" s="25" t="s">
        <v>30</v>
      </c>
      <c r="E154" s="25" t="s">
        <v>31</v>
      </c>
      <c r="F154" s="25" t="s">
        <v>111</v>
      </c>
      <c r="G154" s="25" t="s">
        <v>676</v>
      </c>
      <c r="H154" s="25">
        <v>241004</v>
      </c>
      <c r="I154" s="25" t="s">
        <v>32</v>
      </c>
      <c r="J154" s="25">
        <v>1</v>
      </c>
      <c r="K154" s="34" t="s">
        <v>151</v>
      </c>
      <c r="L154" s="34" t="s">
        <v>31</v>
      </c>
      <c r="M154" s="34" t="s">
        <v>209</v>
      </c>
      <c r="N154" s="34" t="s">
        <v>210</v>
      </c>
      <c r="O154" s="34" t="s">
        <v>46</v>
      </c>
      <c r="P154" s="34"/>
      <c r="Q154" s="34" t="s">
        <v>41</v>
      </c>
      <c r="R154" s="34"/>
      <c r="S154" s="34"/>
      <c r="T154" s="34"/>
      <c r="U154" s="34"/>
      <c r="V154" s="34"/>
      <c r="W154" s="116">
        <v>5162</v>
      </c>
      <c r="X154" s="31">
        <f t="shared" si="21"/>
        <v>89</v>
      </c>
      <c r="Y154" s="28"/>
      <c r="Z154" s="31"/>
      <c r="AA154" s="34"/>
      <c r="AB154" s="30">
        <f t="shared" si="22"/>
        <v>0</v>
      </c>
      <c r="AC154" s="25"/>
      <c r="AD154" s="25"/>
      <c r="AE154" s="25">
        <v>230828</v>
      </c>
      <c r="AF154" s="25" t="s">
        <v>35</v>
      </c>
      <c r="AG154" s="25" t="s">
        <v>211</v>
      </c>
      <c r="AH154" s="25">
        <v>250304</v>
      </c>
    </row>
    <row r="155" spans="1:38" s="185" customFormat="1" ht="20.100000000000001" customHeight="1">
      <c r="A155" s="48" t="str">
        <f t="shared" si="23"/>
        <v>M137</v>
      </c>
      <c r="B155" s="25" t="s">
        <v>36</v>
      </c>
      <c r="C155" s="25">
        <v>18</v>
      </c>
      <c r="D155" s="19" t="s">
        <v>30</v>
      </c>
      <c r="E155" s="25" t="s">
        <v>31</v>
      </c>
      <c r="F155" s="25" t="s">
        <v>111</v>
      </c>
      <c r="G155" s="25" t="s">
        <v>676</v>
      </c>
      <c r="H155" s="25">
        <v>241003</v>
      </c>
      <c r="I155" s="25" t="s">
        <v>32</v>
      </c>
      <c r="J155" s="25">
        <v>1</v>
      </c>
      <c r="K155" s="25" t="s">
        <v>37</v>
      </c>
      <c r="L155" s="25" t="s">
        <v>31</v>
      </c>
      <c r="M155" s="25" t="s">
        <v>38</v>
      </c>
      <c r="N155" s="24" t="s">
        <v>39</v>
      </c>
      <c r="O155" s="25" t="s">
        <v>40</v>
      </c>
      <c r="P155" s="25"/>
      <c r="Q155" s="25" t="s">
        <v>41</v>
      </c>
      <c r="R155" s="25"/>
      <c r="S155" s="25"/>
      <c r="T155" s="25"/>
      <c r="U155" s="25"/>
      <c r="V155" s="25"/>
      <c r="W155" s="33">
        <v>2847</v>
      </c>
      <c r="X155" s="31">
        <f t="shared" si="21"/>
        <v>49.086206896551722</v>
      </c>
      <c r="Y155" s="28"/>
      <c r="Z155" s="29"/>
      <c r="AA155" s="25"/>
      <c r="AB155" s="30">
        <f t="shared" si="22"/>
        <v>0</v>
      </c>
      <c r="AC155" s="25"/>
      <c r="AD155" s="25"/>
      <c r="AE155" s="25" t="s">
        <v>43</v>
      </c>
      <c r="AF155" s="25" t="s">
        <v>35</v>
      </c>
      <c r="AG155" s="25"/>
      <c r="AH155" s="25"/>
    </row>
    <row r="156" spans="1:38" s="185" customFormat="1" ht="20.100000000000001" customHeight="1">
      <c r="A156" s="48" t="str">
        <f t="shared" si="23"/>
        <v>M138</v>
      </c>
      <c r="B156" s="25" t="s">
        <v>36</v>
      </c>
      <c r="C156" s="25">
        <v>19</v>
      </c>
      <c r="D156" s="19" t="s">
        <v>30</v>
      </c>
      <c r="E156" s="25" t="s">
        <v>31</v>
      </c>
      <c r="F156" s="25" t="s">
        <v>111</v>
      </c>
      <c r="G156" s="25" t="s">
        <v>676</v>
      </c>
      <c r="H156" s="25">
        <v>241003</v>
      </c>
      <c r="I156" s="25" t="s">
        <v>32</v>
      </c>
      <c r="J156" s="25">
        <v>1</v>
      </c>
      <c r="K156" s="25" t="s">
        <v>672</v>
      </c>
      <c r="L156" s="25" t="s">
        <v>31</v>
      </c>
      <c r="M156" s="25" t="s">
        <v>45</v>
      </c>
      <c r="N156" s="24" t="s">
        <v>673</v>
      </c>
      <c r="O156" s="25" t="s">
        <v>46</v>
      </c>
      <c r="P156" s="25"/>
      <c r="Q156" s="25" t="s">
        <v>41</v>
      </c>
      <c r="R156" s="25"/>
      <c r="S156" s="25"/>
      <c r="T156" s="25"/>
      <c r="U156" s="25"/>
      <c r="V156" s="25"/>
      <c r="W156" s="33"/>
      <c r="X156" s="31">
        <f t="shared" si="21"/>
        <v>0</v>
      </c>
      <c r="Y156" s="28"/>
      <c r="Z156" s="29"/>
      <c r="AA156" s="25"/>
      <c r="AB156" s="30">
        <f t="shared" si="22"/>
        <v>0</v>
      </c>
      <c r="AC156" s="25"/>
      <c r="AD156" s="25"/>
      <c r="AE156" s="25" t="s">
        <v>43</v>
      </c>
      <c r="AF156" s="25" t="s">
        <v>35</v>
      </c>
      <c r="AG156" s="25"/>
      <c r="AH156" s="25"/>
    </row>
    <row r="157" spans="1:38" s="185" customFormat="1" ht="20.100000000000001" customHeight="1">
      <c r="A157" s="48" t="str">
        <f t="shared" si="23"/>
        <v>M139</v>
      </c>
      <c r="B157" s="25" t="s">
        <v>36</v>
      </c>
      <c r="C157" s="25">
        <v>20</v>
      </c>
      <c r="D157" s="19" t="s">
        <v>30</v>
      </c>
      <c r="E157" s="25" t="s">
        <v>31</v>
      </c>
      <c r="F157" s="25" t="s">
        <v>111</v>
      </c>
      <c r="G157" s="25" t="s">
        <v>676</v>
      </c>
      <c r="H157" s="25">
        <v>241003</v>
      </c>
      <c r="I157" s="25" t="s">
        <v>32</v>
      </c>
      <c r="J157" s="25">
        <v>1</v>
      </c>
      <c r="K157" s="25" t="s">
        <v>47</v>
      </c>
      <c r="L157" s="25" t="s">
        <v>31</v>
      </c>
      <c r="M157" s="25" t="s">
        <v>48</v>
      </c>
      <c r="N157" s="24" t="s">
        <v>49</v>
      </c>
      <c r="O157" s="25" t="s">
        <v>50</v>
      </c>
      <c r="P157" s="25"/>
      <c r="Q157" s="25" t="s">
        <v>41</v>
      </c>
      <c r="R157" s="25"/>
      <c r="S157" s="25"/>
      <c r="T157" s="25"/>
      <c r="U157" s="25"/>
      <c r="V157" s="25"/>
      <c r="W157" s="33">
        <v>6655</v>
      </c>
      <c r="X157" s="31">
        <f t="shared" si="21"/>
        <v>114.74137931034483</v>
      </c>
      <c r="Y157" s="28"/>
      <c r="Z157" s="29"/>
      <c r="AA157" s="25"/>
      <c r="AB157" s="30">
        <f t="shared" si="22"/>
        <v>0</v>
      </c>
      <c r="AC157" s="25"/>
      <c r="AD157" s="25"/>
      <c r="AE157" s="25" t="s">
        <v>43</v>
      </c>
      <c r="AF157" s="25" t="s">
        <v>35</v>
      </c>
      <c r="AG157" s="25"/>
      <c r="AH157" s="25"/>
    </row>
    <row r="158" spans="1:38" s="156" customFormat="1" ht="20.100000000000001" customHeight="1">
      <c r="A158" s="48" t="str">
        <f t="shared" si="23"/>
        <v>M140</v>
      </c>
      <c r="B158" s="25" t="s">
        <v>36</v>
      </c>
      <c r="C158" s="25">
        <v>21</v>
      </c>
      <c r="D158" s="19" t="s">
        <v>30</v>
      </c>
      <c r="E158" s="25" t="s">
        <v>31</v>
      </c>
      <c r="F158" s="25" t="s">
        <v>111</v>
      </c>
      <c r="G158" s="25" t="s">
        <v>676</v>
      </c>
      <c r="H158" s="25">
        <v>241003</v>
      </c>
      <c r="I158" s="25" t="s">
        <v>32</v>
      </c>
      <c r="J158" s="25">
        <v>1</v>
      </c>
      <c r="K158" s="25" t="s">
        <v>47</v>
      </c>
      <c r="L158" s="25" t="s">
        <v>31</v>
      </c>
      <c r="M158" s="25" t="s">
        <v>48</v>
      </c>
      <c r="N158" s="24" t="s">
        <v>51</v>
      </c>
      <c r="O158" s="25" t="s">
        <v>50</v>
      </c>
      <c r="P158" s="25"/>
      <c r="Q158" s="25" t="s">
        <v>41</v>
      </c>
      <c r="R158" s="25"/>
      <c r="S158" s="25"/>
      <c r="T158" s="25"/>
      <c r="U158" s="25"/>
      <c r="V158" s="25"/>
      <c r="W158" s="33">
        <v>6655</v>
      </c>
      <c r="X158" s="31">
        <f t="shared" si="21"/>
        <v>114.74137931034483</v>
      </c>
      <c r="Y158" s="28"/>
      <c r="Z158" s="29"/>
      <c r="AA158" s="25"/>
      <c r="AB158" s="30">
        <f t="shared" si="22"/>
        <v>0</v>
      </c>
      <c r="AC158" s="25"/>
      <c r="AD158" s="25"/>
      <c r="AE158" s="25" t="s">
        <v>43</v>
      </c>
      <c r="AF158" s="25" t="s">
        <v>35</v>
      </c>
      <c r="AG158" s="25"/>
      <c r="AH158" s="25"/>
      <c r="AI158" s="185"/>
      <c r="AJ158" s="185"/>
      <c r="AK158" s="185"/>
      <c r="AL158" s="185"/>
    </row>
    <row r="159" spans="1:38" s="156" customFormat="1" ht="20.100000000000001" customHeight="1">
      <c r="A159" s="48" t="str">
        <f t="shared" si="23"/>
        <v>M141</v>
      </c>
      <c r="B159" s="25" t="s">
        <v>36</v>
      </c>
      <c r="C159" s="25">
        <v>22</v>
      </c>
      <c r="D159" s="19" t="s">
        <v>30</v>
      </c>
      <c r="E159" s="25" t="s">
        <v>31</v>
      </c>
      <c r="F159" s="25" t="s">
        <v>111</v>
      </c>
      <c r="G159" s="25" t="s">
        <v>676</v>
      </c>
      <c r="H159" s="25">
        <v>241003</v>
      </c>
      <c r="I159" s="25" t="s">
        <v>32</v>
      </c>
      <c r="J159" s="25">
        <v>1</v>
      </c>
      <c r="K159" s="25" t="s">
        <v>677</v>
      </c>
      <c r="L159" s="25" t="s">
        <v>31</v>
      </c>
      <c r="M159" s="25" t="s">
        <v>678</v>
      </c>
      <c r="N159" s="24" t="s">
        <v>679</v>
      </c>
      <c r="O159" s="25" t="s">
        <v>50</v>
      </c>
      <c r="P159" s="25"/>
      <c r="Q159" s="25" t="s">
        <v>41</v>
      </c>
      <c r="R159" s="25"/>
      <c r="S159" s="25"/>
      <c r="T159" s="25"/>
      <c r="U159" s="25"/>
      <c r="V159" s="25"/>
      <c r="W159" s="33"/>
      <c r="X159" s="31"/>
      <c r="Y159" s="28"/>
      <c r="Z159" s="29"/>
      <c r="AA159" s="25"/>
      <c r="AB159" s="30">
        <f t="shared" si="22"/>
        <v>0</v>
      </c>
      <c r="AC159" s="25"/>
      <c r="AD159" s="25"/>
      <c r="AE159" s="25" t="s">
        <v>43</v>
      </c>
      <c r="AF159" s="25" t="s">
        <v>35</v>
      </c>
      <c r="AG159" s="25"/>
      <c r="AH159" s="25"/>
      <c r="AI159" s="185"/>
      <c r="AJ159" s="185"/>
      <c r="AK159" s="185"/>
      <c r="AL159" s="185"/>
    </row>
    <row r="160" spans="1:38" s="156" customFormat="1" ht="20.100000000000001" customHeight="1">
      <c r="A160" s="48" t="str">
        <f t="shared" ref="A160:A168" si="24">"MOU"&amp;TEXT(ROW(A135),"000")</f>
        <v>MOU135</v>
      </c>
      <c r="B160" s="34" t="s">
        <v>336</v>
      </c>
      <c r="C160" s="25">
        <v>13</v>
      </c>
      <c r="D160" s="25" t="s">
        <v>30</v>
      </c>
      <c r="E160" s="25" t="s">
        <v>31</v>
      </c>
      <c r="F160" s="25" t="s">
        <v>111</v>
      </c>
      <c r="G160" s="48" t="s">
        <v>1130</v>
      </c>
      <c r="H160" s="25"/>
      <c r="I160" s="25" t="s">
        <v>32</v>
      </c>
      <c r="J160" s="25">
        <v>1</v>
      </c>
      <c r="K160" s="34" t="s">
        <v>151</v>
      </c>
      <c r="L160" s="34" t="s">
        <v>31</v>
      </c>
      <c r="M160" s="34" t="s">
        <v>942</v>
      </c>
      <c r="N160" s="35" t="s">
        <v>341</v>
      </c>
      <c r="O160" s="34"/>
      <c r="P160" s="34"/>
      <c r="Q160" s="34"/>
      <c r="R160" s="34"/>
      <c r="S160" s="34"/>
      <c r="T160" s="34"/>
      <c r="U160" s="34"/>
      <c r="V160" s="34" t="s">
        <v>42</v>
      </c>
      <c r="W160" s="36">
        <v>520</v>
      </c>
      <c r="X160" s="27">
        <f>W160/58</f>
        <v>8.9655172413793096</v>
      </c>
      <c r="Y160" s="28"/>
      <c r="Z160" s="31"/>
      <c r="AA160" s="34"/>
      <c r="AB160" s="30">
        <f t="shared" si="22"/>
        <v>0</v>
      </c>
      <c r="AC160" s="25"/>
      <c r="AD160" s="25"/>
      <c r="AE160" s="25">
        <v>210824</v>
      </c>
      <c r="AF160" s="25" t="s">
        <v>35</v>
      </c>
      <c r="AG160" s="25" t="s">
        <v>1131</v>
      </c>
      <c r="AH160" s="25">
        <v>260107</v>
      </c>
      <c r="AI160" s="185"/>
      <c r="AJ160" s="185"/>
      <c r="AK160" s="185"/>
      <c r="AL160" s="185"/>
    </row>
    <row r="161" spans="1:38" s="156" customFormat="1" ht="20.100000000000001" customHeight="1">
      <c r="A161" s="48" t="str">
        <f t="shared" si="24"/>
        <v>MOU136</v>
      </c>
      <c r="B161" s="34" t="s">
        <v>336</v>
      </c>
      <c r="C161" s="25">
        <v>12</v>
      </c>
      <c r="D161" s="25" t="s">
        <v>30</v>
      </c>
      <c r="E161" s="25" t="s">
        <v>31</v>
      </c>
      <c r="F161" s="25" t="s">
        <v>111</v>
      </c>
      <c r="G161" s="25" t="s">
        <v>53</v>
      </c>
      <c r="H161" s="25"/>
      <c r="I161" s="25" t="s">
        <v>32</v>
      </c>
      <c r="J161" s="25">
        <v>1</v>
      </c>
      <c r="K161" s="34" t="s">
        <v>339</v>
      </c>
      <c r="L161" s="34" t="s">
        <v>31</v>
      </c>
      <c r="M161" s="34" t="s">
        <v>340</v>
      </c>
      <c r="N161" s="35"/>
      <c r="O161" s="34"/>
      <c r="P161" s="34"/>
      <c r="Q161" s="34"/>
      <c r="R161" s="34"/>
      <c r="S161" s="34"/>
      <c r="T161" s="34"/>
      <c r="U161" s="34"/>
      <c r="V161" s="34" t="s">
        <v>42</v>
      </c>
      <c r="W161" s="36">
        <v>300</v>
      </c>
      <c r="X161" s="27">
        <f>W161/58</f>
        <v>5.1724137931034484</v>
      </c>
      <c r="Y161" s="28"/>
      <c r="Z161" s="31"/>
      <c r="AA161" s="34"/>
      <c r="AB161" s="30">
        <f t="shared" si="22"/>
        <v>0</v>
      </c>
      <c r="AC161" s="25"/>
      <c r="AD161" s="25"/>
      <c r="AE161" s="25">
        <v>230906</v>
      </c>
      <c r="AF161" s="25" t="s">
        <v>35</v>
      </c>
      <c r="AG161" s="25" t="s">
        <v>1106</v>
      </c>
      <c r="AH161" s="25">
        <v>251206</v>
      </c>
      <c r="AI161" s="185"/>
      <c r="AJ161" s="185"/>
      <c r="AK161" s="185"/>
      <c r="AL161" s="185"/>
    </row>
    <row r="162" spans="1:38" s="156" customFormat="1" ht="20.100000000000001" customHeight="1">
      <c r="A162" s="48" t="str">
        <f t="shared" si="24"/>
        <v>MOU137</v>
      </c>
      <c r="B162" s="52" t="s">
        <v>336</v>
      </c>
      <c r="C162" s="48">
        <v>15</v>
      </c>
      <c r="D162" s="48" t="s">
        <v>30</v>
      </c>
      <c r="E162" s="25" t="s">
        <v>31</v>
      </c>
      <c r="F162" s="48" t="s">
        <v>111</v>
      </c>
      <c r="G162" s="48" t="s">
        <v>53</v>
      </c>
      <c r="H162" s="48"/>
      <c r="I162" s="48" t="s">
        <v>32</v>
      </c>
      <c r="J162" s="48">
        <v>1</v>
      </c>
      <c r="K162" s="52" t="s">
        <v>484</v>
      </c>
      <c r="L162" s="52"/>
      <c r="M162" s="52" t="s">
        <v>485</v>
      </c>
      <c r="N162" s="54" t="s">
        <v>486</v>
      </c>
      <c r="O162" s="52"/>
      <c r="P162" s="52"/>
      <c r="Q162" s="52"/>
      <c r="R162" s="52"/>
      <c r="S162" s="52"/>
      <c r="T162" s="52"/>
      <c r="U162" s="52"/>
      <c r="V162" s="52" t="s">
        <v>42</v>
      </c>
      <c r="W162" s="299"/>
      <c r="X162" s="192"/>
      <c r="Y162" s="69"/>
      <c r="Z162" s="300"/>
      <c r="AA162" s="52"/>
      <c r="AB162" s="301"/>
      <c r="AC162" s="48"/>
      <c r="AD162" s="48"/>
      <c r="AE162" s="25">
        <v>250623</v>
      </c>
      <c r="AF162" s="48" t="s">
        <v>35</v>
      </c>
      <c r="AG162" s="48" t="s">
        <v>1105</v>
      </c>
      <c r="AH162" s="48">
        <v>251206</v>
      </c>
      <c r="AI162" s="185"/>
      <c r="AJ162" s="185"/>
      <c r="AK162" s="185"/>
      <c r="AL162" s="185"/>
    </row>
    <row r="163" spans="1:38" s="186" customFormat="1" ht="20.100000000000001" customHeight="1">
      <c r="A163" s="48" t="str">
        <f t="shared" si="24"/>
        <v>MOU138</v>
      </c>
      <c r="B163" s="81" t="s">
        <v>336</v>
      </c>
      <c r="C163" s="81">
        <v>17</v>
      </c>
      <c r="D163" s="75" t="s">
        <v>30</v>
      </c>
      <c r="E163" s="75" t="s">
        <v>31</v>
      </c>
      <c r="F163" s="81" t="s">
        <v>111</v>
      </c>
      <c r="G163" s="75" t="s">
        <v>53</v>
      </c>
      <c r="H163" s="75">
        <v>241104</v>
      </c>
      <c r="I163" s="75" t="s">
        <v>32</v>
      </c>
      <c r="J163" s="81">
        <v>1</v>
      </c>
      <c r="K163" s="81" t="s">
        <v>357</v>
      </c>
      <c r="L163" s="75" t="s">
        <v>31</v>
      </c>
      <c r="M163" s="81" t="s">
        <v>361</v>
      </c>
      <c r="N163" s="82" t="s">
        <v>362</v>
      </c>
      <c r="O163" s="81"/>
      <c r="P163" s="81"/>
      <c r="Q163" s="81"/>
      <c r="R163" s="81"/>
      <c r="S163" s="81"/>
      <c r="T163" s="81"/>
      <c r="U163" s="75"/>
      <c r="V163" s="75" t="s">
        <v>42</v>
      </c>
      <c r="W163" s="76">
        <v>480</v>
      </c>
      <c r="X163" s="77">
        <f>W163/58</f>
        <v>8.2758620689655178</v>
      </c>
      <c r="Y163" s="78"/>
      <c r="Z163" s="79"/>
      <c r="AA163" s="75"/>
      <c r="AB163" s="83">
        <f>Y163</f>
        <v>0</v>
      </c>
      <c r="AC163" s="75"/>
      <c r="AD163" s="75"/>
      <c r="AE163" s="75">
        <v>241104</v>
      </c>
      <c r="AF163" s="75" t="s">
        <v>360</v>
      </c>
      <c r="AG163" s="75" t="s">
        <v>602</v>
      </c>
      <c r="AH163" s="75"/>
    </row>
    <row r="164" spans="1:38" s="156" customFormat="1" ht="20.100000000000001" customHeight="1">
      <c r="A164" s="48" t="str">
        <f t="shared" si="24"/>
        <v>MOU139</v>
      </c>
      <c r="B164" s="34" t="s">
        <v>336</v>
      </c>
      <c r="C164" s="25">
        <v>18</v>
      </c>
      <c r="D164" s="25" t="s">
        <v>30</v>
      </c>
      <c r="E164" s="25" t="s">
        <v>31</v>
      </c>
      <c r="F164" s="25" t="s">
        <v>111</v>
      </c>
      <c r="G164" s="25" t="s">
        <v>53</v>
      </c>
      <c r="H164" s="25"/>
      <c r="I164" s="25" t="s">
        <v>32</v>
      </c>
      <c r="J164" s="25">
        <v>1</v>
      </c>
      <c r="K164" s="34" t="s">
        <v>226</v>
      </c>
      <c r="L164" s="34" t="s">
        <v>31</v>
      </c>
      <c r="M164" s="34"/>
      <c r="N164" s="35"/>
      <c r="O164" s="34"/>
      <c r="P164" s="34"/>
      <c r="Q164" s="34"/>
      <c r="R164" s="34"/>
      <c r="S164" s="34"/>
      <c r="T164" s="34"/>
      <c r="U164" s="34"/>
      <c r="V164" s="34" t="s">
        <v>42</v>
      </c>
      <c r="W164" s="36">
        <v>450</v>
      </c>
      <c r="X164" s="27">
        <f>W164/58</f>
        <v>7.7586206896551726</v>
      </c>
      <c r="Y164" s="28"/>
      <c r="Z164" s="31"/>
      <c r="AA164" s="34"/>
      <c r="AB164" s="30">
        <f>Y164</f>
        <v>0</v>
      </c>
      <c r="AC164" s="25"/>
      <c r="AD164" s="25"/>
      <c r="AE164" s="25" t="s">
        <v>43</v>
      </c>
      <c r="AF164" s="25" t="s">
        <v>35</v>
      </c>
      <c r="AG164" s="25" t="s">
        <v>227</v>
      </c>
      <c r="AH164" s="25">
        <v>241015</v>
      </c>
      <c r="AI164" s="185"/>
      <c r="AJ164" s="185"/>
      <c r="AK164" s="185"/>
      <c r="AL164" s="185"/>
    </row>
    <row r="165" spans="1:38" s="156" customFormat="1" ht="20.100000000000001" customHeight="1">
      <c r="A165" s="48" t="str">
        <f t="shared" si="24"/>
        <v>MOU140</v>
      </c>
      <c r="B165" s="25" t="s">
        <v>336</v>
      </c>
      <c r="C165" s="25">
        <v>19</v>
      </c>
      <c r="D165" s="25" t="s">
        <v>30</v>
      </c>
      <c r="E165" s="25" t="s">
        <v>31</v>
      </c>
      <c r="F165" s="25" t="s">
        <v>111</v>
      </c>
      <c r="G165" s="25" t="s">
        <v>685</v>
      </c>
      <c r="H165" s="25"/>
      <c r="I165" s="25" t="s">
        <v>32</v>
      </c>
      <c r="J165" s="25">
        <v>1</v>
      </c>
      <c r="K165" s="25" t="s">
        <v>226</v>
      </c>
      <c r="L165" s="25" t="s">
        <v>31</v>
      </c>
      <c r="M165" s="25" t="s">
        <v>335</v>
      </c>
      <c r="N165" s="24"/>
      <c r="O165" s="25"/>
      <c r="P165" s="25"/>
      <c r="Q165" s="25"/>
      <c r="R165" s="25"/>
      <c r="S165" s="25"/>
      <c r="T165" s="25"/>
      <c r="U165" s="25"/>
      <c r="V165" s="25" t="s">
        <v>62</v>
      </c>
      <c r="W165" s="26">
        <v>259</v>
      </c>
      <c r="X165" s="27">
        <f>W165/58</f>
        <v>4.4655172413793105</v>
      </c>
      <c r="Y165" s="28"/>
      <c r="Z165" s="31"/>
      <c r="AA165" s="25"/>
      <c r="AB165" s="30">
        <f>Y165</f>
        <v>0</v>
      </c>
      <c r="AC165" s="25"/>
      <c r="AD165" s="25"/>
      <c r="AE165" s="25">
        <v>240611</v>
      </c>
      <c r="AF165" s="25" t="s">
        <v>35</v>
      </c>
      <c r="AG165" s="25"/>
      <c r="AH165" s="25"/>
      <c r="AI165" s="185"/>
      <c r="AJ165" s="185"/>
      <c r="AK165" s="185"/>
      <c r="AL165" s="185"/>
    </row>
    <row r="166" spans="1:38" s="218" customFormat="1" ht="20.100000000000001" customHeight="1">
      <c r="A166" s="48" t="str">
        <f t="shared" si="24"/>
        <v>MOU141</v>
      </c>
      <c r="B166" s="48" t="s">
        <v>336</v>
      </c>
      <c r="C166" s="48">
        <v>20</v>
      </c>
      <c r="D166" s="48" t="s">
        <v>30</v>
      </c>
      <c r="E166" s="48" t="s">
        <v>31</v>
      </c>
      <c r="F166" s="48" t="s">
        <v>111</v>
      </c>
      <c r="G166" s="48" t="s">
        <v>688</v>
      </c>
      <c r="H166" s="48"/>
      <c r="I166" s="48" t="s">
        <v>32</v>
      </c>
      <c r="J166" s="48">
        <v>1</v>
      </c>
      <c r="K166" s="48" t="s">
        <v>63</v>
      </c>
      <c r="L166" s="48" t="s">
        <v>31</v>
      </c>
      <c r="M166" s="48" t="s">
        <v>690</v>
      </c>
      <c r="N166" s="48" t="s">
        <v>689</v>
      </c>
      <c r="O166" s="48"/>
      <c r="P166" s="48"/>
      <c r="Q166" s="48"/>
      <c r="R166" s="48"/>
      <c r="S166" s="48"/>
      <c r="T166" s="48"/>
      <c r="U166" s="48"/>
      <c r="V166" s="48" t="s">
        <v>42</v>
      </c>
      <c r="W166" s="48"/>
      <c r="X166" s="48"/>
      <c r="Y166" s="48"/>
      <c r="Z166" s="48"/>
      <c r="AA166" s="48"/>
      <c r="AB166" s="48"/>
      <c r="AC166" s="48"/>
      <c r="AD166" s="48"/>
      <c r="AE166" s="48" t="s">
        <v>675</v>
      </c>
      <c r="AF166" s="48" t="s">
        <v>35</v>
      </c>
      <c r="AG166" s="48"/>
      <c r="AH166" s="48"/>
      <c r="AI166" s="185"/>
      <c r="AJ166" s="185"/>
      <c r="AK166" s="185"/>
      <c r="AL166" s="185"/>
    </row>
    <row r="167" spans="1:38" s="218" customFormat="1" ht="20.100000000000001" customHeight="1">
      <c r="A167" s="48" t="str">
        <f t="shared" si="24"/>
        <v>MOU142</v>
      </c>
      <c r="B167" s="48" t="s">
        <v>336</v>
      </c>
      <c r="C167" s="48">
        <v>21</v>
      </c>
      <c r="D167" s="48" t="s">
        <v>30</v>
      </c>
      <c r="E167" s="48" t="s">
        <v>31</v>
      </c>
      <c r="F167" s="48" t="s">
        <v>111</v>
      </c>
      <c r="G167" s="48" t="s">
        <v>692</v>
      </c>
      <c r="H167" s="48"/>
      <c r="I167" s="48" t="s">
        <v>32</v>
      </c>
      <c r="J167" s="48">
        <v>1</v>
      </c>
      <c r="K167" s="48" t="s">
        <v>691</v>
      </c>
      <c r="L167" s="48" t="s">
        <v>31</v>
      </c>
      <c r="M167" s="48" t="s">
        <v>622</v>
      </c>
      <c r="N167" s="48" t="s">
        <v>693</v>
      </c>
      <c r="O167" s="48"/>
      <c r="P167" s="48"/>
      <c r="Q167" s="48"/>
      <c r="R167" s="48"/>
      <c r="S167" s="48"/>
      <c r="T167" s="48"/>
      <c r="U167" s="48"/>
      <c r="V167" s="48" t="s">
        <v>42</v>
      </c>
      <c r="W167" s="48"/>
      <c r="X167" s="48"/>
      <c r="Y167" s="48"/>
      <c r="Z167" s="48"/>
      <c r="AA167" s="48"/>
      <c r="AB167" s="48"/>
      <c r="AC167" s="48"/>
      <c r="AD167" s="48"/>
      <c r="AE167" s="48" t="s">
        <v>675</v>
      </c>
      <c r="AF167" s="48" t="s">
        <v>35</v>
      </c>
      <c r="AG167" s="48"/>
      <c r="AH167" s="48"/>
      <c r="AI167" s="185"/>
      <c r="AJ167" s="185"/>
      <c r="AK167" s="185"/>
      <c r="AL167" s="185"/>
    </row>
    <row r="168" spans="1:38" s="218" customFormat="1" ht="20.100000000000001" customHeight="1">
      <c r="A168" s="48" t="str">
        <f t="shared" si="24"/>
        <v>MOU143</v>
      </c>
      <c r="B168" s="48" t="s">
        <v>336</v>
      </c>
      <c r="C168" s="48">
        <v>22</v>
      </c>
      <c r="D168" s="48" t="s">
        <v>30</v>
      </c>
      <c r="E168" s="48" t="s">
        <v>31</v>
      </c>
      <c r="F168" s="48" t="s">
        <v>111</v>
      </c>
      <c r="G168" s="48" t="s">
        <v>539</v>
      </c>
      <c r="H168" s="48"/>
      <c r="I168" s="48" t="s">
        <v>32</v>
      </c>
      <c r="J168" s="48">
        <v>1</v>
      </c>
      <c r="K168" s="48" t="s">
        <v>672</v>
      </c>
      <c r="L168" s="48" t="s">
        <v>31</v>
      </c>
      <c r="M168" s="48" t="s">
        <v>686</v>
      </c>
      <c r="N168" s="48" t="s">
        <v>687</v>
      </c>
      <c r="O168" s="48"/>
      <c r="P168" s="48"/>
      <c r="Q168" s="48"/>
      <c r="R168" s="48"/>
      <c r="S168" s="48"/>
      <c r="T168" s="48"/>
      <c r="U168" s="48"/>
      <c r="V168" s="48" t="s">
        <v>62</v>
      </c>
      <c r="W168" s="48"/>
      <c r="X168" s="48"/>
      <c r="Y168" s="48"/>
      <c r="Z168" s="48"/>
      <c r="AA168" s="48"/>
      <c r="AB168" s="48"/>
      <c r="AC168" s="48"/>
      <c r="AD168" s="48"/>
      <c r="AE168" s="48" t="s">
        <v>675</v>
      </c>
      <c r="AF168" s="48" t="s">
        <v>35</v>
      </c>
      <c r="AG168" s="48"/>
      <c r="AH168" s="48"/>
      <c r="AI168" s="185"/>
      <c r="AJ168" s="185"/>
      <c r="AK168" s="185"/>
      <c r="AL168" s="185"/>
    </row>
    <row r="169" spans="1:38" s="230" customFormat="1" ht="20.100000000000001" customHeight="1">
      <c r="A169" s="24" t="str">
        <f>"MP"&amp;TEXT(ROW(A3),"000")</f>
        <v>MP003</v>
      </c>
      <c r="B169" s="25" t="s">
        <v>59</v>
      </c>
      <c r="C169" s="25">
        <v>0</v>
      </c>
      <c r="D169" s="19" t="s">
        <v>30</v>
      </c>
      <c r="E169" s="25" t="s">
        <v>31</v>
      </c>
      <c r="F169" s="25" t="s">
        <v>111</v>
      </c>
      <c r="G169" s="25" t="s">
        <v>60</v>
      </c>
      <c r="H169" s="25">
        <v>241003</v>
      </c>
      <c r="I169" s="25" t="s">
        <v>32</v>
      </c>
      <c r="J169" s="25">
        <v>3</v>
      </c>
      <c r="K169" s="25"/>
      <c r="L169" s="25" t="s">
        <v>31</v>
      </c>
      <c r="M169" s="25"/>
      <c r="N169" s="24"/>
      <c r="O169" s="25"/>
      <c r="P169" s="25"/>
      <c r="Q169" s="25"/>
      <c r="R169" s="25"/>
      <c r="S169" s="25"/>
      <c r="T169" s="25"/>
      <c r="U169" s="25"/>
      <c r="V169" s="25" t="s">
        <v>42</v>
      </c>
      <c r="W169" s="26">
        <v>100</v>
      </c>
      <c r="X169" s="27">
        <f>W169/58</f>
        <v>1.7241379310344827</v>
      </c>
      <c r="Y169" s="28"/>
      <c r="Z169" s="31"/>
      <c r="AA169" s="25"/>
      <c r="AB169" s="30">
        <f>Y169</f>
        <v>0</v>
      </c>
      <c r="AC169" s="25"/>
      <c r="AD169" s="25"/>
      <c r="AE169" s="25">
        <v>230906</v>
      </c>
      <c r="AF169" s="25" t="s">
        <v>35</v>
      </c>
      <c r="AG169" s="25"/>
      <c r="AH169" s="25"/>
      <c r="AI169" s="202"/>
      <c r="AJ169" s="202"/>
      <c r="AK169" s="202"/>
      <c r="AL169" s="202"/>
    </row>
    <row r="170" spans="1:38" s="162" customFormat="1" ht="20.100000000000001" customHeight="1">
      <c r="A170" s="24" t="str">
        <f>"MP"&amp;TEXT(ROW(A4),"000")</f>
        <v>MP004</v>
      </c>
      <c r="B170" s="25" t="s">
        <v>59</v>
      </c>
      <c r="C170" s="25">
        <v>0</v>
      </c>
      <c r="D170" s="25" t="s">
        <v>30</v>
      </c>
      <c r="E170" s="25" t="s">
        <v>31</v>
      </c>
      <c r="F170" s="25" t="s">
        <v>111</v>
      </c>
      <c r="G170" s="25" t="s">
        <v>53</v>
      </c>
      <c r="H170" s="25">
        <v>241104</v>
      </c>
      <c r="I170" s="25" t="s">
        <v>32</v>
      </c>
      <c r="J170" s="25">
        <v>3</v>
      </c>
      <c r="K170" s="25" t="s">
        <v>372</v>
      </c>
      <c r="L170" s="25" t="s">
        <v>31</v>
      </c>
      <c r="M170" s="25" t="s">
        <v>373</v>
      </c>
      <c r="N170" s="24"/>
      <c r="O170" s="25"/>
      <c r="P170" s="25"/>
      <c r="Q170" s="25"/>
      <c r="R170" s="25"/>
      <c r="S170" s="25"/>
      <c r="T170" s="25"/>
      <c r="U170" s="25"/>
      <c r="V170" s="25" t="s">
        <v>42</v>
      </c>
      <c r="W170" s="26">
        <v>270</v>
      </c>
      <c r="X170" s="27">
        <f>W170/58</f>
        <v>4.6551724137931032</v>
      </c>
      <c r="Y170" s="33"/>
      <c r="Z170" s="31"/>
      <c r="AA170" s="25"/>
      <c r="AB170" s="30">
        <f>Y170</f>
        <v>0</v>
      </c>
      <c r="AC170" s="25"/>
      <c r="AD170" s="25"/>
      <c r="AE170" s="25">
        <v>241104</v>
      </c>
      <c r="AF170" s="25" t="s">
        <v>360</v>
      </c>
      <c r="AG170" s="25"/>
      <c r="AH170" s="25"/>
    </row>
    <row r="171" spans="1:38" s="162" customFormat="1" ht="20.100000000000001" customHeight="1">
      <c r="A171" s="74" t="str">
        <f>"PM"&amp;TEXT(ROW(A140),"000")</f>
        <v>PM140</v>
      </c>
      <c r="B171" s="75" t="s">
        <v>459</v>
      </c>
      <c r="C171" s="75">
        <v>8</v>
      </c>
      <c r="D171" s="75" t="s">
        <v>30</v>
      </c>
      <c r="E171" s="75" t="s">
        <v>31</v>
      </c>
      <c r="F171" s="75" t="s">
        <v>111</v>
      </c>
      <c r="G171" s="75" t="s">
        <v>1120</v>
      </c>
      <c r="H171" s="75">
        <v>251208</v>
      </c>
      <c r="I171" s="75" t="s">
        <v>32</v>
      </c>
      <c r="J171" s="75">
        <v>1</v>
      </c>
      <c r="K171" s="75" t="s">
        <v>37</v>
      </c>
      <c r="L171" s="75" t="s">
        <v>701</v>
      </c>
      <c r="M171" s="75" t="s">
        <v>461</v>
      </c>
      <c r="N171" s="66" t="s">
        <v>702</v>
      </c>
      <c r="O171" s="75" t="s">
        <v>232</v>
      </c>
      <c r="P171" s="75"/>
      <c r="Q171" s="75"/>
      <c r="R171" s="75"/>
      <c r="S171" s="75"/>
      <c r="T171" s="75"/>
      <c r="U171" s="75"/>
      <c r="V171" s="75" t="s">
        <v>42</v>
      </c>
      <c r="W171" s="75"/>
      <c r="X171" s="75"/>
      <c r="Y171" s="75"/>
      <c r="Z171" s="75"/>
      <c r="AA171" s="75"/>
      <c r="AB171" s="75"/>
      <c r="AC171" s="75"/>
      <c r="AD171" s="75"/>
      <c r="AE171" s="75">
        <v>251208</v>
      </c>
      <c r="AF171" s="75" t="s">
        <v>360</v>
      </c>
      <c r="AG171" s="75" t="s">
        <v>1121</v>
      </c>
      <c r="AH171" s="75">
        <v>251216</v>
      </c>
    </row>
    <row r="172" spans="1:38" s="109" customFormat="1" ht="20.100000000000001" customHeight="1">
      <c r="A172" s="24" t="str">
        <f>"PC"&amp;TEXT(ROW(A3),"000")</f>
        <v>PC003</v>
      </c>
      <c r="B172" s="25" t="s">
        <v>52</v>
      </c>
      <c r="C172" s="25">
        <v>0</v>
      </c>
      <c r="D172" s="19" t="s">
        <v>30</v>
      </c>
      <c r="E172" s="25" t="s">
        <v>31</v>
      </c>
      <c r="F172" s="25" t="s">
        <v>111</v>
      </c>
      <c r="G172" s="25" t="s">
        <v>53</v>
      </c>
      <c r="H172" s="25">
        <v>241003</v>
      </c>
      <c r="I172" s="25" t="s">
        <v>32</v>
      </c>
      <c r="J172" s="25">
        <v>6</v>
      </c>
      <c r="K172" s="25"/>
      <c r="L172" s="25" t="s">
        <v>31</v>
      </c>
      <c r="M172" s="25"/>
      <c r="N172" s="24"/>
      <c r="O172" s="25"/>
      <c r="P172" s="25"/>
      <c r="Q172" s="25"/>
      <c r="R172" s="25"/>
      <c r="S172" s="25"/>
      <c r="T172" s="25"/>
      <c r="U172" s="25"/>
      <c r="V172" s="25" t="s">
        <v>42</v>
      </c>
      <c r="W172" s="26">
        <v>120</v>
      </c>
      <c r="X172" s="27">
        <f>W172/58</f>
        <v>2.0689655172413794</v>
      </c>
      <c r="Y172" s="28"/>
      <c r="Z172" s="29"/>
      <c r="AA172" s="25"/>
      <c r="AB172" s="30">
        <f>Y172</f>
        <v>0</v>
      </c>
      <c r="AC172" s="25"/>
      <c r="AD172" s="25"/>
      <c r="AE172" s="25">
        <v>230906</v>
      </c>
      <c r="AF172" s="25" t="s">
        <v>35</v>
      </c>
      <c r="AG172" s="25"/>
      <c r="AH172" s="25"/>
      <c r="AI172" s="184"/>
      <c r="AJ172" s="184"/>
      <c r="AK172" s="184"/>
      <c r="AL172" s="184"/>
    </row>
    <row r="173" spans="1:38" s="184" customFormat="1" ht="20.100000000000001" customHeight="1">
      <c r="A173" s="25" t="str">
        <f>"P"&amp;TEXT(ROW(A97),"000")</f>
        <v>P097</v>
      </c>
      <c r="B173" s="25" t="s">
        <v>343</v>
      </c>
      <c r="C173" s="48">
        <v>3</v>
      </c>
      <c r="D173" s="48" t="s">
        <v>30</v>
      </c>
      <c r="E173" s="48" t="s">
        <v>31</v>
      </c>
      <c r="F173" s="48" t="s">
        <v>111</v>
      </c>
      <c r="G173" s="48" t="s">
        <v>681</v>
      </c>
      <c r="H173" s="48" t="s">
        <v>200</v>
      </c>
      <c r="I173" s="48" t="s">
        <v>32</v>
      </c>
      <c r="J173" s="48">
        <v>1</v>
      </c>
      <c r="K173" s="48" t="s">
        <v>63</v>
      </c>
      <c r="L173" s="48" t="s">
        <v>31</v>
      </c>
      <c r="M173" s="48" t="s">
        <v>683</v>
      </c>
      <c r="N173" s="48" t="s">
        <v>684</v>
      </c>
      <c r="O173" s="48"/>
      <c r="P173" s="48"/>
      <c r="Q173" s="48"/>
      <c r="R173" s="48"/>
      <c r="S173" s="48"/>
      <c r="T173" s="48"/>
      <c r="U173" s="48"/>
      <c r="V173" s="48" t="s">
        <v>34</v>
      </c>
      <c r="W173" s="48"/>
      <c r="X173" s="48"/>
      <c r="Y173" s="48"/>
      <c r="Z173" s="48"/>
      <c r="AA173" s="48"/>
      <c r="AB173" s="48"/>
      <c r="AC173" s="48"/>
      <c r="AD173" s="48"/>
      <c r="AE173" s="48" t="s">
        <v>675</v>
      </c>
      <c r="AF173" s="48" t="s">
        <v>35</v>
      </c>
      <c r="AG173" s="48"/>
      <c r="AH173" s="48"/>
    </row>
    <row r="174" spans="1:38" s="184" customFormat="1" ht="20.100000000000001" customHeight="1">
      <c r="A174" s="24" t="str">
        <f>"RD"&amp;TEXT(ROW(A3),"000")</f>
        <v>RD003</v>
      </c>
      <c r="B174" s="25" t="s">
        <v>61</v>
      </c>
      <c r="C174" s="25">
        <v>0</v>
      </c>
      <c r="D174" s="19" t="s">
        <v>30</v>
      </c>
      <c r="E174" s="25" t="s">
        <v>31</v>
      </c>
      <c r="F174" s="25" t="s">
        <v>111</v>
      </c>
      <c r="G174" s="25" t="s">
        <v>62</v>
      </c>
      <c r="H174" s="25"/>
      <c r="I174" s="25" t="s">
        <v>32</v>
      </c>
      <c r="J174" s="25">
        <v>1</v>
      </c>
      <c r="K174" s="25" t="s">
        <v>63</v>
      </c>
      <c r="L174" s="25" t="s">
        <v>31</v>
      </c>
      <c r="M174" s="25" t="s">
        <v>64</v>
      </c>
      <c r="N174" s="25" t="s">
        <v>64</v>
      </c>
      <c r="O174" s="25"/>
      <c r="P174" s="25"/>
      <c r="Q174" s="25" t="s">
        <v>65</v>
      </c>
      <c r="R174" s="25"/>
      <c r="S174" s="25" t="s">
        <v>66</v>
      </c>
      <c r="T174" s="25"/>
      <c r="U174" s="25"/>
      <c r="V174" s="25" t="s">
        <v>62</v>
      </c>
      <c r="W174" s="26">
        <v>1000</v>
      </c>
      <c r="X174" s="27">
        <f>W174/58</f>
        <v>17.241379310344829</v>
      </c>
      <c r="Y174" s="28"/>
      <c r="Z174" s="31"/>
      <c r="AA174" s="25"/>
      <c r="AB174" s="30">
        <f>Y174</f>
        <v>0</v>
      </c>
      <c r="AC174" s="25"/>
      <c r="AD174" s="25"/>
      <c r="AE174" s="25" t="s">
        <v>43</v>
      </c>
      <c r="AF174" s="25" t="s">
        <v>35</v>
      </c>
      <c r="AG174" s="25"/>
      <c r="AH174" s="25"/>
    </row>
    <row r="175" spans="1:38" s="162" customFormat="1" ht="20.100000000000001" customHeight="1">
      <c r="A175" s="38" t="str">
        <f>"RL"&amp;TEXT(ROW(A3),"000")</f>
        <v>RL003</v>
      </c>
      <c r="B175" s="19" t="s">
        <v>442</v>
      </c>
      <c r="C175" s="19">
        <v>0</v>
      </c>
      <c r="D175" s="19" t="s">
        <v>30</v>
      </c>
      <c r="E175" s="19" t="s">
        <v>31</v>
      </c>
      <c r="F175" s="19" t="s">
        <v>111</v>
      </c>
      <c r="G175" s="19" t="s">
        <v>53</v>
      </c>
      <c r="H175" s="19">
        <v>241125</v>
      </c>
      <c r="I175" s="19" t="s">
        <v>32</v>
      </c>
      <c r="J175" s="19">
        <v>1</v>
      </c>
      <c r="K175" s="19" t="s">
        <v>443</v>
      </c>
      <c r="L175" s="19" t="s">
        <v>204</v>
      </c>
      <c r="M175" s="19" t="s">
        <v>444</v>
      </c>
      <c r="N175" s="38">
        <v>740617310887</v>
      </c>
      <c r="O175" s="19"/>
      <c r="P175" s="19"/>
      <c r="Q175" s="19" t="s">
        <v>445</v>
      </c>
      <c r="R175" s="19"/>
      <c r="S175" s="19" t="s">
        <v>66</v>
      </c>
      <c r="T175" s="19"/>
      <c r="U175" s="19"/>
      <c r="V175" s="19" t="s">
        <v>42</v>
      </c>
      <c r="W175" s="39">
        <v>1100</v>
      </c>
      <c r="X175" s="50" t="e">
        <f>W175/#REF!</f>
        <v>#REF!</v>
      </c>
      <c r="Y175" s="40"/>
      <c r="Z175" s="59"/>
      <c r="AA175" s="19"/>
      <c r="AB175" s="58"/>
      <c r="AC175" s="19"/>
      <c r="AD175" s="19"/>
      <c r="AE175" s="19">
        <v>241125</v>
      </c>
      <c r="AF175" s="19" t="s">
        <v>360</v>
      </c>
      <c r="AG175" s="19"/>
      <c r="AH175" s="19"/>
    </row>
    <row r="176" spans="1:38" s="109" customFormat="1" ht="20.100000000000001" customHeight="1">
      <c r="A176" s="38" t="str">
        <f>"RL"&amp;TEXT(ROW(A4),"000")</f>
        <v>RL004</v>
      </c>
      <c r="B176" s="19" t="s">
        <v>442</v>
      </c>
      <c r="C176" s="19">
        <v>0</v>
      </c>
      <c r="D176" s="19" t="s">
        <v>30</v>
      </c>
      <c r="E176" s="19" t="s">
        <v>31</v>
      </c>
      <c r="F176" s="19" t="s">
        <v>111</v>
      </c>
      <c r="G176" s="19" t="s">
        <v>53</v>
      </c>
      <c r="H176" s="19">
        <v>241125</v>
      </c>
      <c r="I176" s="19" t="s">
        <v>32</v>
      </c>
      <c r="J176" s="19">
        <v>1</v>
      </c>
      <c r="K176" s="19" t="s">
        <v>443</v>
      </c>
      <c r="L176" s="19" t="s">
        <v>204</v>
      </c>
      <c r="M176" s="19" t="s">
        <v>444</v>
      </c>
      <c r="N176" s="38">
        <v>740617310887</v>
      </c>
      <c r="O176" s="19"/>
      <c r="P176" s="19"/>
      <c r="Q176" s="19" t="s">
        <v>445</v>
      </c>
      <c r="R176" s="19"/>
      <c r="S176" s="19" t="s">
        <v>66</v>
      </c>
      <c r="T176" s="19"/>
      <c r="U176" s="19"/>
      <c r="V176" s="19" t="s">
        <v>42</v>
      </c>
      <c r="W176" s="39">
        <v>1100</v>
      </c>
      <c r="X176" s="50" t="e">
        <f>W176/#REF!</f>
        <v>#REF!</v>
      </c>
      <c r="Y176" s="40"/>
      <c r="Z176" s="59"/>
      <c r="AA176" s="19"/>
      <c r="AB176" s="58"/>
      <c r="AC176" s="19"/>
      <c r="AD176" s="19"/>
      <c r="AE176" s="19">
        <v>241125</v>
      </c>
      <c r="AF176" s="19" t="s">
        <v>360</v>
      </c>
      <c r="AG176" s="19"/>
      <c r="AH176" s="19"/>
      <c r="AI176" s="184"/>
      <c r="AJ176" s="184"/>
      <c r="AK176" s="184"/>
      <c r="AL176" s="184"/>
    </row>
    <row r="177" spans="1:38" s="109" customFormat="1" ht="20.100000000000001" customHeight="1">
      <c r="A177" s="47" t="str">
        <f>"SMWA"&amp;TEXT(ROW(A3),"000")</f>
        <v>SMWA003</v>
      </c>
      <c r="B177" s="48" t="s">
        <v>538</v>
      </c>
      <c r="C177" s="48"/>
      <c r="D177" s="66" t="s">
        <v>30</v>
      </c>
      <c r="E177" s="66" t="s">
        <v>31</v>
      </c>
      <c r="F177" s="48" t="s">
        <v>111</v>
      </c>
      <c r="G177" s="48" t="s">
        <v>539</v>
      </c>
      <c r="H177" s="48"/>
      <c r="I177" s="48" t="s">
        <v>32</v>
      </c>
      <c r="J177" s="25">
        <v>1</v>
      </c>
      <c r="K177" s="48"/>
      <c r="L177" s="48"/>
      <c r="M177" s="48"/>
      <c r="N177" s="24"/>
      <c r="O177" s="25"/>
      <c r="P177" s="25"/>
      <c r="Q177" s="25"/>
      <c r="R177" s="25"/>
      <c r="S177" s="25"/>
      <c r="T177" s="25"/>
      <c r="U177" s="25"/>
      <c r="V177" s="25"/>
      <c r="W177" s="33"/>
      <c r="X177" s="25"/>
      <c r="Y177" s="69"/>
      <c r="Z177" s="64"/>
      <c r="AA177" s="25"/>
      <c r="AB177" s="60"/>
      <c r="AC177" s="25"/>
      <c r="AD177" s="25"/>
      <c r="AE177" s="66">
        <v>250903</v>
      </c>
      <c r="AF177" s="66" t="s">
        <v>35</v>
      </c>
      <c r="AG177" s="48"/>
      <c r="AH177" s="25"/>
      <c r="AI177" s="184"/>
      <c r="AJ177" s="184"/>
      <c r="AK177" s="184"/>
      <c r="AL177" s="184"/>
    </row>
    <row r="178" spans="1:38" s="109" customFormat="1" ht="20.100000000000001" customHeight="1">
      <c r="A178" s="47" t="str">
        <f>"SMWA"&amp;TEXT(ROW(A4),"000")</f>
        <v>SMWA004</v>
      </c>
      <c r="B178" s="48" t="s">
        <v>538</v>
      </c>
      <c r="C178" s="48"/>
      <c r="D178" s="66" t="s">
        <v>30</v>
      </c>
      <c r="E178" s="66" t="s">
        <v>31</v>
      </c>
      <c r="F178" s="48" t="s">
        <v>111</v>
      </c>
      <c r="G178" s="48" t="s">
        <v>539</v>
      </c>
      <c r="H178" s="48"/>
      <c r="I178" s="48" t="s">
        <v>32</v>
      </c>
      <c r="J178" s="48">
        <v>1</v>
      </c>
      <c r="K178" s="48"/>
      <c r="L178" s="48"/>
      <c r="M178" s="48"/>
      <c r="N178" s="47"/>
      <c r="O178" s="48"/>
      <c r="P178" s="48"/>
      <c r="Q178" s="48"/>
      <c r="R178" s="48"/>
      <c r="S178" s="48"/>
      <c r="T178" s="48"/>
      <c r="U178" s="48"/>
      <c r="V178" s="48"/>
      <c r="W178" s="49"/>
      <c r="X178" s="48"/>
      <c r="Y178" s="64"/>
      <c r="Z178" s="64"/>
      <c r="AA178" s="48"/>
      <c r="AB178" s="48"/>
      <c r="AC178" s="48"/>
      <c r="AD178" s="48"/>
      <c r="AE178" s="66">
        <v>250903</v>
      </c>
      <c r="AF178" s="66" t="s">
        <v>35</v>
      </c>
      <c r="AG178" s="48"/>
      <c r="AH178" s="48"/>
      <c r="AI178" s="184"/>
      <c r="AJ178" s="184"/>
      <c r="AK178" s="184"/>
      <c r="AL178" s="184"/>
    </row>
    <row r="179" spans="1:38" s="184" customFormat="1" ht="20.100000000000001" customHeight="1">
      <c r="A179" s="163" t="str">
        <f t="shared" ref="A179:A186" si="25">"SSD"&amp;TEXT(ROW(A81),"000")</f>
        <v>SSD081</v>
      </c>
      <c r="B179" s="18" t="s">
        <v>395</v>
      </c>
      <c r="C179" s="18">
        <v>5</v>
      </c>
      <c r="D179" s="18" t="s">
        <v>30</v>
      </c>
      <c r="E179" s="18" t="s">
        <v>31</v>
      </c>
      <c r="F179" s="18" t="s">
        <v>111</v>
      </c>
      <c r="G179" s="18" t="s">
        <v>699</v>
      </c>
      <c r="H179" s="18">
        <v>241022</v>
      </c>
      <c r="I179" s="18" t="s">
        <v>32</v>
      </c>
      <c r="J179" s="18">
        <v>1</v>
      </c>
      <c r="K179" s="18" t="s">
        <v>396</v>
      </c>
      <c r="L179" s="18" t="s">
        <v>31</v>
      </c>
      <c r="M179" s="18" t="s">
        <v>397</v>
      </c>
      <c r="N179" s="17" t="s">
        <v>398</v>
      </c>
      <c r="O179" s="18"/>
      <c r="P179" s="18"/>
      <c r="Q179" s="18"/>
      <c r="R179" s="18"/>
      <c r="S179" s="18"/>
      <c r="T179" s="18" t="s">
        <v>118</v>
      </c>
      <c r="U179" s="18" t="s">
        <v>258</v>
      </c>
      <c r="V179" s="18" t="s">
        <v>42</v>
      </c>
      <c r="W179" s="20">
        <v>3399</v>
      </c>
      <c r="X179" s="21">
        <f t="shared" ref="X179:X187" si="26">W179/58</f>
        <v>58.603448275862071</v>
      </c>
      <c r="Y179" s="22"/>
      <c r="Z179" s="23"/>
      <c r="AA179" s="18"/>
      <c r="AB179" s="22">
        <f t="shared" ref="AB179:AB187" si="27">Y179</f>
        <v>0</v>
      </c>
      <c r="AC179" s="18"/>
      <c r="AD179" s="18"/>
      <c r="AE179" s="18" t="s">
        <v>43</v>
      </c>
      <c r="AF179" s="18" t="s">
        <v>35</v>
      </c>
      <c r="AG179" s="18"/>
      <c r="AH179" s="18"/>
    </row>
    <row r="180" spans="1:38" s="48" customFormat="1" ht="20.100000000000001" customHeight="1">
      <c r="A180" s="163" t="str">
        <f t="shared" si="25"/>
        <v>SSD082</v>
      </c>
      <c r="B180" s="18" t="s">
        <v>395</v>
      </c>
      <c r="C180" s="18">
        <v>12</v>
      </c>
      <c r="D180" s="25" t="s">
        <v>30</v>
      </c>
      <c r="E180" s="18" t="s">
        <v>31</v>
      </c>
      <c r="F180" s="18" t="s">
        <v>111</v>
      </c>
      <c r="G180" s="18" t="s">
        <v>404</v>
      </c>
      <c r="H180" s="18">
        <v>241022</v>
      </c>
      <c r="I180" s="18" t="s">
        <v>69</v>
      </c>
      <c r="J180" s="18">
        <v>1</v>
      </c>
      <c r="K180" s="18" t="s">
        <v>405</v>
      </c>
      <c r="L180" s="18" t="s">
        <v>31</v>
      </c>
      <c r="M180" s="18" t="s">
        <v>406</v>
      </c>
      <c r="N180" s="17"/>
      <c r="O180" s="18"/>
      <c r="P180" s="18"/>
      <c r="Q180" s="18"/>
      <c r="R180" s="18"/>
      <c r="S180" s="18"/>
      <c r="T180" s="18" t="s">
        <v>118</v>
      </c>
      <c r="U180" s="18" t="s">
        <v>407</v>
      </c>
      <c r="V180" s="18" t="s">
        <v>34</v>
      </c>
      <c r="W180" s="20">
        <v>915</v>
      </c>
      <c r="X180" s="21">
        <f t="shared" si="26"/>
        <v>15.775862068965518</v>
      </c>
      <c r="Y180" s="32"/>
      <c r="Z180" s="23"/>
      <c r="AA180" s="18" t="s">
        <v>408</v>
      </c>
      <c r="AB180" s="30">
        <f t="shared" si="27"/>
        <v>0</v>
      </c>
      <c r="AC180" s="18"/>
      <c r="AD180" s="18"/>
      <c r="AE180" s="18" t="s">
        <v>43</v>
      </c>
      <c r="AF180" s="18" t="s">
        <v>35</v>
      </c>
      <c r="AG180" s="18"/>
      <c r="AH180" s="18"/>
    </row>
    <row r="181" spans="1:38" s="48" customFormat="1" ht="20.100000000000001" customHeight="1">
      <c r="A181" s="48" t="str">
        <f t="shared" si="25"/>
        <v>SSD083</v>
      </c>
      <c r="B181" s="19" t="s">
        <v>395</v>
      </c>
      <c r="C181" s="19">
        <v>6</v>
      </c>
      <c r="D181" s="25" t="s">
        <v>30</v>
      </c>
      <c r="E181" s="19" t="s">
        <v>31</v>
      </c>
      <c r="F181" s="19" t="s">
        <v>111</v>
      </c>
      <c r="G181" s="19" t="s">
        <v>53</v>
      </c>
      <c r="H181" s="19">
        <v>241022</v>
      </c>
      <c r="I181" s="19" t="s">
        <v>32</v>
      </c>
      <c r="J181" s="19">
        <v>1</v>
      </c>
      <c r="K181" s="19" t="s">
        <v>396</v>
      </c>
      <c r="L181" s="19" t="s">
        <v>31</v>
      </c>
      <c r="M181" s="19" t="s">
        <v>397</v>
      </c>
      <c r="N181" s="38">
        <v>193467805219</v>
      </c>
      <c r="O181" s="19"/>
      <c r="P181" s="19"/>
      <c r="Q181" s="19"/>
      <c r="R181" s="19"/>
      <c r="S181" s="19"/>
      <c r="T181" s="19" t="s">
        <v>118</v>
      </c>
      <c r="U181" s="19" t="s">
        <v>258</v>
      </c>
      <c r="V181" s="19" t="s">
        <v>42</v>
      </c>
      <c r="W181" s="39">
        <v>3399</v>
      </c>
      <c r="X181" s="27">
        <f t="shared" si="26"/>
        <v>58.603448275862071</v>
      </c>
      <c r="Y181" s="43"/>
      <c r="Z181" s="41"/>
      <c r="AA181" s="19"/>
      <c r="AB181" s="30">
        <f t="shared" si="27"/>
        <v>0</v>
      </c>
      <c r="AC181" s="19"/>
      <c r="AD181" s="19"/>
      <c r="AE181" s="19" t="s">
        <v>43</v>
      </c>
      <c r="AF181" s="19" t="s">
        <v>35</v>
      </c>
      <c r="AG181" s="19"/>
      <c r="AH181" s="19"/>
    </row>
    <row r="182" spans="1:38" s="48" customFormat="1" ht="20.100000000000001" customHeight="1">
      <c r="A182" s="48" t="str">
        <f t="shared" si="25"/>
        <v>SSD084</v>
      </c>
      <c r="B182" s="19" t="s">
        <v>395</v>
      </c>
      <c r="C182" s="19">
        <v>7</v>
      </c>
      <c r="D182" s="25" t="s">
        <v>30</v>
      </c>
      <c r="E182" s="19" t="s">
        <v>31</v>
      </c>
      <c r="F182" s="19" t="s">
        <v>111</v>
      </c>
      <c r="G182" s="19" t="s">
        <v>53</v>
      </c>
      <c r="H182" s="19">
        <v>241022</v>
      </c>
      <c r="I182" s="19" t="s">
        <v>32</v>
      </c>
      <c r="J182" s="19">
        <v>1</v>
      </c>
      <c r="K182" s="19" t="s">
        <v>396</v>
      </c>
      <c r="L182" s="19" t="s">
        <v>31</v>
      </c>
      <c r="M182" s="19" t="s">
        <v>399</v>
      </c>
      <c r="N182" s="38">
        <v>222134800323</v>
      </c>
      <c r="O182" s="19"/>
      <c r="P182" s="19"/>
      <c r="Q182" s="19"/>
      <c r="R182" s="19"/>
      <c r="S182" s="19"/>
      <c r="T182" s="19" t="s">
        <v>118</v>
      </c>
      <c r="U182" s="19" t="s">
        <v>237</v>
      </c>
      <c r="V182" s="19" t="s">
        <v>42</v>
      </c>
      <c r="W182" s="39">
        <v>4590</v>
      </c>
      <c r="X182" s="27">
        <f t="shared" si="26"/>
        <v>79.137931034482762</v>
      </c>
      <c r="Y182" s="43"/>
      <c r="Z182" s="41"/>
      <c r="AA182" s="19"/>
      <c r="AB182" s="30">
        <f t="shared" si="27"/>
        <v>0</v>
      </c>
      <c r="AC182" s="19"/>
      <c r="AD182" s="19"/>
      <c r="AE182" s="19" t="s">
        <v>43</v>
      </c>
      <c r="AF182" s="19" t="s">
        <v>35</v>
      </c>
      <c r="AG182" s="19"/>
      <c r="AH182" s="19"/>
    </row>
    <row r="183" spans="1:38" s="48" customFormat="1" ht="20.100000000000001" customHeight="1">
      <c r="A183" s="48" t="str">
        <f t="shared" si="25"/>
        <v>SSD085</v>
      </c>
      <c r="B183" s="19" t="s">
        <v>395</v>
      </c>
      <c r="C183" s="19">
        <v>8</v>
      </c>
      <c r="D183" s="25" t="s">
        <v>30</v>
      </c>
      <c r="E183" s="19" t="s">
        <v>31</v>
      </c>
      <c r="F183" s="19" t="s">
        <v>111</v>
      </c>
      <c r="G183" s="19" t="s">
        <v>53</v>
      </c>
      <c r="H183" s="19">
        <v>241022</v>
      </c>
      <c r="I183" s="19" t="s">
        <v>32</v>
      </c>
      <c r="J183" s="19">
        <v>1</v>
      </c>
      <c r="K183" s="19" t="s">
        <v>400</v>
      </c>
      <c r="L183" s="19" t="s">
        <v>31</v>
      </c>
      <c r="M183" s="19" t="s">
        <v>401</v>
      </c>
      <c r="N183" s="38">
        <v>163233475805</v>
      </c>
      <c r="O183" s="19"/>
      <c r="P183" s="19"/>
      <c r="Q183" s="19"/>
      <c r="R183" s="19"/>
      <c r="S183" s="19"/>
      <c r="T183" s="19" t="s">
        <v>118</v>
      </c>
      <c r="U183" s="19" t="s">
        <v>295</v>
      </c>
      <c r="V183" s="19" t="s">
        <v>42</v>
      </c>
      <c r="W183" s="39">
        <v>1275</v>
      </c>
      <c r="X183" s="27">
        <f t="shared" si="26"/>
        <v>21.982758620689655</v>
      </c>
      <c r="Y183" s="43"/>
      <c r="Z183" s="41"/>
      <c r="AA183" s="19"/>
      <c r="AB183" s="30">
        <f t="shared" si="27"/>
        <v>0</v>
      </c>
      <c r="AC183" s="19"/>
      <c r="AD183" s="19"/>
      <c r="AE183" s="19" t="s">
        <v>43</v>
      </c>
      <c r="AF183" s="19" t="s">
        <v>35</v>
      </c>
      <c r="AG183" s="19"/>
      <c r="AH183" s="19"/>
    </row>
    <row r="184" spans="1:38" s="48" customFormat="1" ht="20.100000000000001" customHeight="1">
      <c r="A184" s="48" t="str">
        <f t="shared" si="25"/>
        <v>SSD086</v>
      </c>
      <c r="B184" s="19" t="s">
        <v>395</v>
      </c>
      <c r="C184" s="19">
        <v>9</v>
      </c>
      <c r="D184" s="25" t="s">
        <v>30</v>
      </c>
      <c r="E184" s="19" t="s">
        <v>31</v>
      </c>
      <c r="F184" s="19" t="s">
        <v>111</v>
      </c>
      <c r="G184" s="19" t="s">
        <v>53</v>
      </c>
      <c r="H184" s="19">
        <v>241022</v>
      </c>
      <c r="I184" s="19" t="s">
        <v>32</v>
      </c>
      <c r="J184" s="19">
        <v>1</v>
      </c>
      <c r="K184" s="19" t="s">
        <v>400</v>
      </c>
      <c r="L184" s="19" t="s">
        <v>31</v>
      </c>
      <c r="M184" s="19" t="s">
        <v>401</v>
      </c>
      <c r="N184" s="38">
        <v>163344469902</v>
      </c>
      <c r="O184" s="19"/>
      <c r="P184" s="19"/>
      <c r="Q184" s="19"/>
      <c r="R184" s="19"/>
      <c r="S184" s="19"/>
      <c r="T184" s="19" t="s">
        <v>118</v>
      </c>
      <c r="U184" s="19" t="s">
        <v>295</v>
      </c>
      <c r="V184" s="19" t="s">
        <v>42</v>
      </c>
      <c r="W184" s="39">
        <v>1275</v>
      </c>
      <c r="X184" s="27">
        <f t="shared" si="26"/>
        <v>21.982758620689655</v>
      </c>
      <c r="Y184" s="43"/>
      <c r="Z184" s="41"/>
      <c r="AA184" s="19"/>
      <c r="AB184" s="30">
        <f t="shared" si="27"/>
        <v>0</v>
      </c>
      <c r="AC184" s="19"/>
      <c r="AD184" s="19"/>
      <c r="AE184" s="19" t="s">
        <v>43</v>
      </c>
      <c r="AF184" s="19" t="s">
        <v>35</v>
      </c>
      <c r="AG184" s="19"/>
      <c r="AH184" s="19"/>
    </row>
    <row r="185" spans="1:38" s="48" customFormat="1" ht="20.100000000000001" customHeight="1">
      <c r="A185" s="48" t="str">
        <f t="shared" si="25"/>
        <v>SSD087</v>
      </c>
      <c r="B185" s="19" t="s">
        <v>395</v>
      </c>
      <c r="C185" s="19">
        <v>10</v>
      </c>
      <c r="D185" s="25" t="s">
        <v>30</v>
      </c>
      <c r="E185" s="19" t="s">
        <v>31</v>
      </c>
      <c r="F185" s="19" t="s">
        <v>111</v>
      </c>
      <c r="G185" s="19" t="s">
        <v>53</v>
      </c>
      <c r="H185" s="19">
        <v>241022</v>
      </c>
      <c r="I185" s="19" t="s">
        <v>32</v>
      </c>
      <c r="J185" s="19">
        <v>1</v>
      </c>
      <c r="K185" s="19" t="s">
        <v>400</v>
      </c>
      <c r="L185" s="19" t="s">
        <v>31</v>
      </c>
      <c r="M185" s="19" t="s">
        <v>401</v>
      </c>
      <c r="N185" s="38">
        <v>152885400402</v>
      </c>
      <c r="O185" s="19"/>
      <c r="P185" s="19"/>
      <c r="Q185" s="19"/>
      <c r="R185" s="19"/>
      <c r="S185" s="19"/>
      <c r="T185" s="19" t="s">
        <v>118</v>
      </c>
      <c r="U185" s="19" t="s">
        <v>295</v>
      </c>
      <c r="V185" s="19" t="s">
        <v>42</v>
      </c>
      <c r="W185" s="39">
        <v>1275</v>
      </c>
      <c r="X185" s="27">
        <f t="shared" si="26"/>
        <v>21.982758620689655</v>
      </c>
      <c r="Y185" s="43"/>
      <c r="Z185" s="41"/>
      <c r="AA185" s="19"/>
      <c r="AB185" s="30">
        <f t="shared" si="27"/>
        <v>0</v>
      </c>
      <c r="AC185" s="19"/>
      <c r="AD185" s="19"/>
      <c r="AE185" s="19" t="s">
        <v>43</v>
      </c>
      <c r="AF185" s="19" t="s">
        <v>35</v>
      </c>
      <c r="AG185" s="19"/>
      <c r="AH185" s="19"/>
    </row>
    <row r="186" spans="1:38" s="48" customFormat="1" ht="20.100000000000001" customHeight="1">
      <c r="A186" s="48" t="str">
        <f t="shared" si="25"/>
        <v>SSD088</v>
      </c>
      <c r="B186" s="19" t="s">
        <v>395</v>
      </c>
      <c r="C186" s="19">
        <v>11</v>
      </c>
      <c r="D186" s="25" t="s">
        <v>30</v>
      </c>
      <c r="E186" s="19" t="s">
        <v>31</v>
      </c>
      <c r="F186" s="19" t="s">
        <v>111</v>
      </c>
      <c r="G186" s="19" t="s">
        <v>53</v>
      </c>
      <c r="H186" s="19">
        <v>241022</v>
      </c>
      <c r="I186" s="19" t="s">
        <v>32</v>
      </c>
      <c r="J186" s="19">
        <v>1</v>
      </c>
      <c r="K186" s="19" t="s">
        <v>402</v>
      </c>
      <c r="L186" s="19" t="s">
        <v>31</v>
      </c>
      <c r="M186" s="19" t="s">
        <v>403</v>
      </c>
      <c r="N186" s="38"/>
      <c r="O186" s="19"/>
      <c r="P186" s="19"/>
      <c r="Q186" s="19"/>
      <c r="R186" s="19"/>
      <c r="S186" s="19"/>
      <c r="T186" s="19" t="s">
        <v>118</v>
      </c>
      <c r="U186" s="19" t="s">
        <v>295</v>
      </c>
      <c r="V186" s="19" t="s">
        <v>42</v>
      </c>
      <c r="W186" s="39">
        <v>1275</v>
      </c>
      <c r="X186" s="27">
        <f t="shared" si="26"/>
        <v>21.982758620689655</v>
      </c>
      <c r="Y186" s="43"/>
      <c r="Z186" s="41"/>
      <c r="AA186" s="19"/>
      <c r="AB186" s="30">
        <f t="shared" si="27"/>
        <v>0</v>
      </c>
      <c r="AC186" s="19"/>
      <c r="AD186" s="19"/>
      <c r="AE186" s="19" t="s">
        <v>43</v>
      </c>
      <c r="AF186" s="19" t="s">
        <v>35</v>
      </c>
      <c r="AG186" s="19"/>
      <c r="AH186" s="19"/>
    </row>
    <row r="187" spans="1:38" s="48" customFormat="1" ht="20.100000000000001" customHeight="1">
      <c r="A187" s="38" t="str">
        <f>"SSDE"&amp;TEXT(ROW(A3),"000")</f>
        <v>SSDE003</v>
      </c>
      <c r="B187" s="19" t="s">
        <v>413</v>
      </c>
      <c r="C187" s="19">
        <v>0</v>
      </c>
      <c r="D187" s="25" t="s">
        <v>30</v>
      </c>
      <c r="E187" s="19" t="s">
        <v>31</v>
      </c>
      <c r="F187" s="25" t="s">
        <v>111</v>
      </c>
      <c r="G187" s="19" t="s">
        <v>53</v>
      </c>
      <c r="H187" s="19">
        <v>241023</v>
      </c>
      <c r="I187" s="19" t="s">
        <v>32</v>
      </c>
      <c r="J187" s="19">
        <v>1</v>
      </c>
      <c r="K187" s="19" t="s">
        <v>414</v>
      </c>
      <c r="L187" s="19" t="s">
        <v>31</v>
      </c>
      <c r="M187" s="19" t="s">
        <v>415</v>
      </c>
      <c r="N187" s="38"/>
      <c r="O187" s="19"/>
      <c r="P187" s="19"/>
      <c r="Q187" s="19"/>
      <c r="R187" s="19"/>
      <c r="S187" s="19"/>
      <c r="T187" s="19" t="s">
        <v>302</v>
      </c>
      <c r="U187" s="19"/>
      <c r="V187" s="19" t="s">
        <v>42</v>
      </c>
      <c r="W187" s="39">
        <v>638</v>
      </c>
      <c r="X187" s="44">
        <f t="shared" si="26"/>
        <v>11</v>
      </c>
      <c r="Y187" s="43"/>
      <c r="Z187" s="41"/>
      <c r="AA187" s="19"/>
      <c r="AB187" s="30">
        <f t="shared" si="27"/>
        <v>0</v>
      </c>
      <c r="AC187" s="19"/>
      <c r="AD187" s="19"/>
      <c r="AE187" s="19" t="s">
        <v>43</v>
      </c>
      <c r="AF187" s="19" t="s">
        <v>35</v>
      </c>
      <c r="AG187" s="19"/>
      <c r="AH187" s="19"/>
    </row>
    <row r="188" spans="1:38" s="163" customFormat="1" ht="20.100000000000001" customHeight="1">
      <c r="A188" s="48" t="str">
        <f t="shared" ref="A188:A200" si="28">"T"&amp;TEXT(ROW(A150),"000")</f>
        <v>T150</v>
      </c>
      <c r="B188" s="48" t="s">
        <v>121</v>
      </c>
      <c r="C188" s="48">
        <v>14</v>
      </c>
      <c r="D188" s="48" t="s">
        <v>30</v>
      </c>
      <c r="E188" s="48" t="s">
        <v>31</v>
      </c>
      <c r="F188" s="48" t="s">
        <v>111</v>
      </c>
      <c r="G188" s="48" t="s">
        <v>53</v>
      </c>
      <c r="H188" s="48">
        <v>250819</v>
      </c>
      <c r="I188" s="48" t="s">
        <v>32</v>
      </c>
      <c r="J188" s="48">
        <v>1</v>
      </c>
      <c r="K188" s="48" t="s">
        <v>512</v>
      </c>
      <c r="L188" s="48"/>
      <c r="M188" s="48" t="s">
        <v>513</v>
      </c>
      <c r="N188" s="47" t="s">
        <v>518</v>
      </c>
      <c r="O188" s="48" t="s">
        <v>128</v>
      </c>
      <c r="P188" s="48"/>
      <c r="Q188" s="48"/>
      <c r="R188" s="48"/>
      <c r="S188" s="48"/>
      <c r="T188" s="48"/>
      <c r="U188" s="48"/>
      <c r="V188" s="48" t="s">
        <v>42</v>
      </c>
      <c r="W188" s="49"/>
      <c r="X188" s="48"/>
      <c r="Y188" s="65"/>
      <c r="Z188" s="64"/>
      <c r="AA188" s="48"/>
      <c r="AB188" s="301"/>
      <c r="AC188" s="48"/>
      <c r="AD188" s="48"/>
      <c r="AE188" s="48">
        <v>250818</v>
      </c>
      <c r="AF188" s="48" t="s">
        <v>360</v>
      </c>
      <c r="AG188" s="48" t="s">
        <v>1132</v>
      </c>
      <c r="AH188" s="48">
        <v>260107</v>
      </c>
    </row>
    <row r="189" spans="1:38" ht="20.100000000000001" customHeight="1">
      <c r="A189" s="163" t="str">
        <f t="shared" si="28"/>
        <v>T151</v>
      </c>
      <c r="B189" s="18" t="s">
        <v>121</v>
      </c>
      <c r="C189" s="18">
        <v>24</v>
      </c>
      <c r="D189" s="25" t="s">
        <v>30</v>
      </c>
      <c r="E189" s="18" t="s">
        <v>31</v>
      </c>
      <c r="F189" s="18" t="s">
        <v>111</v>
      </c>
      <c r="G189" s="18" t="s">
        <v>680</v>
      </c>
      <c r="H189" s="18">
        <v>241118</v>
      </c>
      <c r="I189" s="18" t="s">
        <v>69</v>
      </c>
      <c r="J189" s="18">
        <v>1</v>
      </c>
      <c r="K189" s="18" t="s">
        <v>44</v>
      </c>
      <c r="L189" s="18" t="s">
        <v>31</v>
      </c>
      <c r="M189" s="18" t="s">
        <v>419</v>
      </c>
      <c r="N189" s="17" t="s">
        <v>424</v>
      </c>
      <c r="O189" s="18" t="s">
        <v>128</v>
      </c>
      <c r="P189" s="18"/>
      <c r="Q189" s="18"/>
      <c r="R189" s="18" t="s">
        <v>421</v>
      </c>
      <c r="S189" s="18" t="s">
        <v>141</v>
      </c>
      <c r="T189" s="18"/>
      <c r="U189" s="18" t="s">
        <v>131</v>
      </c>
      <c r="V189" s="18" t="s">
        <v>34</v>
      </c>
      <c r="W189" s="45">
        <v>9426</v>
      </c>
      <c r="X189" s="111">
        <f>W189/58</f>
        <v>162.51724137931035</v>
      </c>
      <c r="Y189" s="61"/>
      <c r="Z189" s="18"/>
      <c r="AA189" s="18"/>
      <c r="AB189" s="30">
        <f>Y189</f>
        <v>0</v>
      </c>
      <c r="AC189" s="18"/>
      <c r="AD189" s="18"/>
      <c r="AE189" s="18" t="s">
        <v>43</v>
      </c>
      <c r="AF189" s="18" t="s">
        <v>35</v>
      </c>
      <c r="AG189" s="18"/>
      <c r="AH189" s="118"/>
    </row>
    <row r="190" spans="1:38" ht="20.100000000000001" customHeight="1">
      <c r="A190" s="163" t="str">
        <f t="shared" si="28"/>
        <v>T152</v>
      </c>
      <c r="B190" s="18" t="s">
        <v>121</v>
      </c>
      <c r="C190" s="18">
        <v>25</v>
      </c>
      <c r="D190" s="18" t="s">
        <v>30</v>
      </c>
      <c r="E190" s="18" t="s">
        <v>31</v>
      </c>
      <c r="F190" s="18" t="s">
        <v>111</v>
      </c>
      <c r="G190" s="18" t="s">
        <v>463</v>
      </c>
      <c r="H190" s="18">
        <v>250130</v>
      </c>
      <c r="I190" s="18" t="s">
        <v>32</v>
      </c>
      <c r="J190" s="18">
        <v>1</v>
      </c>
      <c r="K190" s="18" t="s">
        <v>229</v>
      </c>
      <c r="L190" s="18" t="s">
        <v>31</v>
      </c>
      <c r="M190" s="168" t="s">
        <v>464</v>
      </c>
      <c r="N190" s="168" t="s">
        <v>465</v>
      </c>
      <c r="O190" s="168" t="s">
        <v>128</v>
      </c>
      <c r="P190" s="204"/>
      <c r="Q190" s="18"/>
      <c r="R190" s="18" t="s">
        <v>466</v>
      </c>
      <c r="S190" s="18" t="s">
        <v>141</v>
      </c>
      <c r="T190" s="18"/>
      <c r="U190" s="168" t="s">
        <v>467</v>
      </c>
      <c r="V190" s="18" t="s">
        <v>42</v>
      </c>
      <c r="W190" s="205">
        <v>12500</v>
      </c>
      <c r="X190" s="111">
        <f>W190/58</f>
        <v>215.51724137931035</v>
      </c>
      <c r="Y190" s="206"/>
      <c r="Z190" s="62"/>
      <c r="AA190" s="18"/>
      <c r="AB190" s="113"/>
      <c r="AC190" s="18"/>
      <c r="AD190" s="18"/>
      <c r="AE190" s="18">
        <v>250130</v>
      </c>
      <c r="AF190" s="18" t="s">
        <v>35</v>
      </c>
      <c r="AG190" s="18"/>
      <c r="AH190" s="18"/>
    </row>
    <row r="191" spans="1:38" ht="13.5" customHeight="1">
      <c r="A191" s="48" t="str">
        <f t="shared" si="28"/>
        <v>T153</v>
      </c>
      <c r="B191" s="25" t="s">
        <v>121</v>
      </c>
      <c r="C191" s="25">
        <v>7</v>
      </c>
      <c r="D191" s="25" t="s">
        <v>30</v>
      </c>
      <c r="E191" s="25" t="s">
        <v>31</v>
      </c>
      <c r="F191" s="25" t="s">
        <v>111</v>
      </c>
      <c r="G191" s="25" t="s">
        <v>53</v>
      </c>
      <c r="H191" s="25">
        <v>241003</v>
      </c>
      <c r="I191" s="25" t="s">
        <v>32</v>
      </c>
      <c r="J191" s="25">
        <v>1</v>
      </c>
      <c r="K191" s="25" t="s">
        <v>44</v>
      </c>
      <c r="L191" s="25" t="s">
        <v>31</v>
      </c>
      <c r="M191" s="25" t="s">
        <v>138</v>
      </c>
      <c r="N191" s="24" t="s">
        <v>139</v>
      </c>
      <c r="O191" s="25" t="s">
        <v>128</v>
      </c>
      <c r="P191" s="25"/>
      <c r="Q191" s="25"/>
      <c r="R191" s="25" t="s">
        <v>140</v>
      </c>
      <c r="S191" s="34" t="s">
        <v>141</v>
      </c>
      <c r="T191" s="25"/>
      <c r="U191" s="34" t="s">
        <v>131</v>
      </c>
      <c r="V191" s="25" t="s">
        <v>42</v>
      </c>
      <c r="W191" s="26">
        <v>15064</v>
      </c>
      <c r="X191" s="27">
        <f>W191/58</f>
        <v>259.72413793103448</v>
      </c>
      <c r="Y191" s="33"/>
      <c r="Z191" s="31"/>
      <c r="AA191" s="25"/>
      <c r="AB191" s="30">
        <f>Y191</f>
        <v>0</v>
      </c>
      <c r="AC191" s="25"/>
      <c r="AD191" s="25"/>
      <c r="AE191" s="25">
        <v>231103</v>
      </c>
      <c r="AF191" s="25" t="s">
        <v>35</v>
      </c>
      <c r="AG191" s="25" t="s">
        <v>383</v>
      </c>
      <c r="AH191" s="25">
        <v>251215</v>
      </c>
    </row>
    <row r="192" spans="1:38" s="193" customFormat="1" ht="15.75" customHeight="1">
      <c r="A192" s="48" t="str">
        <f t="shared" si="28"/>
        <v>T154</v>
      </c>
      <c r="B192" s="25" t="s">
        <v>121</v>
      </c>
      <c r="C192" s="25">
        <v>9</v>
      </c>
      <c r="D192" s="25" t="s">
        <v>30</v>
      </c>
      <c r="E192" s="25" t="s">
        <v>31</v>
      </c>
      <c r="F192" s="25" t="s">
        <v>111</v>
      </c>
      <c r="G192" s="25" t="s">
        <v>53</v>
      </c>
      <c r="H192" s="25">
        <v>250130</v>
      </c>
      <c r="I192" s="25" t="s">
        <v>32</v>
      </c>
      <c r="J192" s="25">
        <v>1</v>
      </c>
      <c r="K192" s="25" t="s">
        <v>44</v>
      </c>
      <c r="L192" s="25" t="s">
        <v>31</v>
      </c>
      <c r="M192" s="284" t="s">
        <v>419</v>
      </c>
      <c r="N192" s="284" t="s">
        <v>478</v>
      </c>
      <c r="O192" s="284" t="s">
        <v>128</v>
      </c>
      <c r="P192" s="285"/>
      <c r="Q192" s="25"/>
      <c r="R192" s="25" t="s">
        <v>129</v>
      </c>
      <c r="S192" s="25" t="s">
        <v>141</v>
      </c>
      <c r="T192" s="25"/>
      <c r="U192" s="284" t="s">
        <v>467</v>
      </c>
      <c r="V192" s="25" t="s">
        <v>42</v>
      </c>
      <c r="W192" s="286">
        <v>9426</v>
      </c>
      <c r="X192" s="192">
        <f>W192/58</f>
        <v>162.51724137931035</v>
      </c>
      <c r="Y192" s="63"/>
      <c r="Z192" s="287"/>
      <c r="AA192" s="25"/>
      <c r="AB192" s="60"/>
      <c r="AC192" s="25"/>
      <c r="AD192" s="25"/>
      <c r="AE192" s="25">
        <v>250130</v>
      </c>
      <c r="AF192" s="25" t="s">
        <v>35</v>
      </c>
      <c r="AG192" s="25" t="s">
        <v>1104</v>
      </c>
      <c r="AH192" s="25">
        <v>251023</v>
      </c>
      <c r="AI192" s="163"/>
      <c r="AJ192" s="163"/>
      <c r="AK192" s="163"/>
      <c r="AL192" s="163"/>
    </row>
    <row r="193" spans="1:38" s="169" customFormat="1" ht="18" customHeight="1">
      <c r="A193" s="48" t="str">
        <f t="shared" si="28"/>
        <v>T155</v>
      </c>
      <c r="B193" s="34" t="s">
        <v>121</v>
      </c>
      <c r="C193" s="25">
        <v>16</v>
      </c>
      <c r="D193" s="25" t="s">
        <v>30</v>
      </c>
      <c r="E193" s="25" t="s">
        <v>31</v>
      </c>
      <c r="F193" s="25" t="s">
        <v>133</v>
      </c>
      <c r="G193" s="48" t="s">
        <v>53</v>
      </c>
      <c r="H193" s="25">
        <v>241003</v>
      </c>
      <c r="I193" s="25" t="s">
        <v>168</v>
      </c>
      <c r="J193" s="34">
        <v>1</v>
      </c>
      <c r="K193" s="34" t="s">
        <v>44</v>
      </c>
      <c r="L193" s="34" t="s">
        <v>31</v>
      </c>
      <c r="M193" s="34" t="s">
        <v>126</v>
      </c>
      <c r="N193" s="35" t="s">
        <v>134</v>
      </c>
      <c r="O193" s="34" t="s">
        <v>128</v>
      </c>
      <c r="P193" s="34"/>
      <c r="Q193" s="34"/>
      <c r="R193" s="34" t="s">
        <v>135</v>
      </c>
      <c r="S193" s="34" t="s">
        <v>130</v>
      </c>
      <c r="T193" s="34"/>
      <c r="U193" s="34" t="s">
        <v>131</v>
      </c>
      <c r="V193" s="34" t="s">
        <v>42</v>
      </c>
      <c r="W193" s="36">
        <v>13695</v>
      </c>
      <c r="X193" s="27">
        <f>W193/58</f>
        <v>236.12068965517241</v>
      </c>
      <c r="Y193" s="28"/>
      <c r="Z193" s="31"/>
      <c r="AA193" s="25"/>
      <c r="AB193" s="30">
        <f>Y193</f>
        <v>0</v>
      </c>
      <c r="AC193" s="25"/>
      <c r="AD193" s="25"/>
      <c r="AE193" s="25">
        <v>220421</v>
      </c>
      <c r="AF193" s="34" t="s">
        <v>35</v>
      </c>
      <c r="AG193" s="25" t="s">
        <v>639</v>
      </c>
      <c r="AH193" s="25">
        <v>241017</v>
      </c>
      <c r="AI193" s="163"/>
      <c r="AJ193" s="163"/>
      <c r="AK193" s="163"/>
      <c r="AL193" s="163"/>
    </row>
    <row r="194" spans="1:38" s="169" customFormat="1" ht="13.5" customHeight="1">
      <c r="A194" s="48" t="str">
        <f t="shared" si="28"/>
        <v>T156</v>
      </c>
      <c r="B194" s="48" t="s">
        <v>121</v>
      </c>
      <c r="C194" s="48">
        <v>3</v>
      </c>
      <c r="D194" s="48" t="s">
        <v>30</v>
      </c>
      <c r="E194" s="25" t="s">
        <v>31</v>
      </c>
      <c r="F194" s="48" t="s">
        <v>111</v>
      </c>
      <c r="G194" s="48" t="s">
        <v>53</v>
      </c>
      <c r="H194" s="48">
        <v>250819</v>
      </c>
      <c r="I194" s="48" t="s">
        <v>32</v>
      </c>
      <c r="J194" s="48">
        <v>1</v>
      </c>
      <c r="K194" s="52" t="s">
        <v>507</v>
      </c>
      <c r="L194" s="48" t="s">
        <v>460</v>
      </c>
      <c r="M194" s="52" t="s">
        <v>508</v>
      </c>
      <c r="N194" s="47" t="s">
        <v>511</v>
      </c>
      <c r="O194" s="48" t="s">
        <v>128</v>
      </c>
      <c r="P194" s="48"/>
      <c r="Q194" s="48"/>
      <c r="R194" s="48"/>
      <c r="S194" s="48"/>
      <c r="T194" s="48"/>
      <c r="U194" s="48"/>
      <c r="V194" s="48" t="s">
        <v>42</v>
      </c>
      <c r="W194" s="49"/>
      <c r="X194" s="48"/>
      <c r="Y194" s="64"/>
      <c r="Z194" s="64"/>
      <c r="AA194" s="48"/>
      <c r="AB194" s="48"/>
      <c r="AC194" s="48"/>
      <c r="AD194" s="48"/>
      <c r="AE194" s="48">
        <v>250818</v>
      </c>
      <c r="AF194" s="48" t="s">
        <v>360</v>
      </c>
      <c r="AG194" s="48"/>
      <c r="AH194" s="48"/>
      <c r="AI194" s="163"/>
      <c r="AJ194" s="163"/>
      <c r="AK194" s="163"/>
      <c r="AL194" s="163"/>
    </row>
    <row r="195" spans="1:38" s="48" customFormat="1" ht="13.5" customHeight="1">
      <c r="A195" s="48" t="str">
        <f t="shared" si="28"/>
        <v>T157</v>
      </c>
      <c r="B195" s="34" t="s">
        <v>121</v>
      </c>
      <c r="C195" s="34">
        <v>18</v>
      </c>
      <c r="D195" s="25" t="s">
        <v>30</v>
      </c>
      <c r="E195" s="34" t="s">
        <v>31</v>
      </c>
      <c r="F195" s="25" t="s">
        <v>111</v>
      </c>
      <c r="G195" s="34" t="s">
        <v>53</v>
      </c>
      <c r="H195" s="34">
        <v>241112</v>
      </c>
      <c r="I195" s="25" t="s">
        <v>32</v>
      </c>
      <c r="J195" s="34">
        <v>1</v>
      </c>
      <c r="K195" s="34" t="s">
        <v>44</v>
      </c>
      <c r="L195" s="34" t="s">
        <v>31</v>
      </c>
      <c r="M195" s="34" t="s">
        <v>380</v>
      </c>
      <c r="N195" s="35" t="s">
        <v>381</v>
      </c>
      <c r="O195" s="34" t="s">
        <v>314</v>
      </c>
      <c r="P195" s="34"/>
      <c r="Q195" s="34"/>
      <c r="R195" s="34" t="s">
        <v>382</v>
      </c>
      <c r="S195" s="34" t="s">
        <v>334</v>
      </c>
      <c r="T195" s="34"/>
      <c r="U195" s="25" t="s">
        <v>236</v>
      </c>
      <c r="V195" s="34" t="s">
        <v>42</v>
      </c>
      <c r="W195" s="36">
        <v>9500</v>
      </c>
      <c r="X195" s="27">
        <f t="shared" ref="X195:X206" si="29">W195/58</f>
        <v>163.79310344827587</v>
      </c>
      <c r="Y195" s="28"/>
      <c r="Z195" s="31"/>
      <c r="AA195" s="25"/>
      <c r="AB195" s="30">
        <f t="shared" ref="AB195:AB206" si="30">Y195</f>
        <v>0</v>
      </c>
      <c r="AC195" s="25"/>
      <c r="AD195" s="25"/>
      <c r="AE195" s="25" t="s">
        <v>43</v>
      </c>
      <c r="AF195" s="34" t="s">
        <v>35</v>
      </c>
      <c r="AG195" s="25" t="s">
        <v>383</v>
      </c>
      <c r="AH195" s="25">
        <v>241118</v>
      </c>
    </row>
    <row r="196" spans="1:38" ht="13.5" customHeight="1">
      <c r="A196" s="48" t="str">
        <f t="shared" si="28"/>
        <v>T158</v>
      </c>
      <c r="B196" s="19" t="s">
        <v>121</v>
      </c>
      <c r="C196" s="19">
        <v>19</v>
      </c>
      <c r="D196" s="25" t="s">
        <v>30</v>
      </c>
      <c r="E196" s="25" t="s">
        <v>31</v>
      </c>
      <c r="F196" s="25" t="s">
        <v>111</v>
      </c>
      <c r="G196" s="19" t="s">
        <v>53</v>
      </c>
      <c r="H196" s="19">
        <v>241111</v>
      </c>
      <c r="I196" s="19" t="s">
        <v>32</v>
      </c>
      <c r="J196" s="19">
        <v>1</v>
      </c>
      <c r="K196" s="19" t="s">
        <v>44</v>
      </c>
      <c r="L196" s="19" t="s">
        <v>31</v>
      </c>
      <c r="M196" s="19" t="s">
        <v>380</v>
      </c>
      <c r="N196" s="38" t="s">
        <v>387</v>
      </c>
      <c r="O196" s="19" t="s">
        <v>388</v>
      </c>
      <c r="P196" s="19"/>
      <c r="Q196" s="19"/>
      <c r="R196" s="19" t="s">
        <v>389</v>
      </c>
      <c r="S196" s="19" t="s">
        <v>334</v>
      </c>
      <c r="T196" s="19"/>
      <c r="U196" s="19" t="s">
        <v>236</v>
      </c>
      <c r="V196" s="19" t="s">
        <v>42</v>
      </c>
      <c r="W196" s="39">
        <v>9500</v>
      </c>
      <c r="X196" s="27">
        <f t="shared" si="29"/>
        <v>163.79310344827587</v>
      </c>
      <c r="Y196" s="40"/>
      <c r="Z196" s="41"/>
      <c r="AA196" s="19"/>
      <c r="AB196" s="30">
        <f t="shared" si="30"/>
        <v>0</v>
      </c>
      <c r="AC196" s="19"/>
      <c r="AD196" s="19"/>
      <c r="AE196" s="19" t="s">
        <v>43</v>
      </c>
      <c r="AF196" s="19" t="s">
        <v>35</v>
      </c>
      <c r="AG196" s="19"/>
      <c r="AH196" s="25"/>
    </row>
    <row r="197" spans="1:38" s="170" customFormat="1" ht="13.5" customHeight="1">
      <c r="A197" s="48" t="str">
        <f t="shared" si="28"/>
        <v>T159</v>
      </c>
      <c r="B197" s="19" t="s">
        <v>121</v>
      </c>
      <c r="C197" s="19">
        <v>20</v>
      </c>
      <c r="D197" s="25" t="s">
        <v>30</v>
      </c>
      <c r="E197" s="25" t="s">
        <v>31</v>
      </c>
      <c r="F197" s="25" t="s">
        <v>111</v>
      </c>
      <c r="G197" s="19" t="s">
        <v>53</v>
      </c>
      <c r="H197" s="19">
        <v>241111</v>
      </c>
      <c r="I197" s="19" t="s">
        <v>32</v>
      </c>
      <c r="J197" s="19">
        <v>1</v>
      </c>
      <c r="K197" s="19" t="s">
        <v>44</v>
      </c>
      <c r="L197" s="19" t="s">
        <v>31</v>
      </c>
      <c r="M197" s="19" t="s">
        <v>390</v>
      </c>
      <c r="N197" s="38" t="s">
        <v>391</v>
      </c>
      <c r="O197" s="19" t="s">
        <v>392</v>
      </c>
      <c r="P197" s="19"/>
      <c r="Q197" s="19"/>
      <c r="R197" s="19" t="s">
        <v>382</v>
      </c>
      <c r="S197" s="19" t="s">
        <v>294</v>
      </c>
      <c r="T197" s="19"/>
      <c r="U197" s="19" t="s">
        <v>393</v>
      </c>
      <c r="V197" s="19" t="s">
        <v>42</v>
      </c>
      <c r="W197" s="39">
        <v>13572</v>
      </c>
      <c r="X197" s="27">
        <f t="shared" si="29"/>
        <v>234</v>
      </c>
      <c r="Y197" s="40"/>
      <c r="Z197" s="41"/>
      <c r="AA197" s="19"/>
      <c r="AB197" s="30">
        <f t="shared" si="30"/>
        <v>0</v>
      </c>
      <c r="AC197" s="19"/>
      <c r="AD197" s="19"/>
      <c r="AE197" s="19" t="s">
        <v>43</v>
      </c>
      <c r="AF197" s="19" t="s">
        <v>35</v>
      </c>
      <c r="AG197" s="19"/>
      <c r="AH197" s="19"/>
      <c r="AI197" s="48"/>
      <c r="AJ197" s="48"/>
      <c r="AK197" s="48"/>
      <c r="AL197" s="48"/>
    </row>
    <row r="198" spans="1:38" s="48" customFormat="1" ht="13.5" customHeight="1">
      <c r="A198" s="48" t="str">
        <f t="shared" si="28"/>
        <v>T160</v>
      </c>
      <c r="B198" s="25" t="s">
        <v>121</v>
      </c>
      <c r="C198" s="25">
        <v>21</v>
      </c>
      <c r="D198" s="25" t="s">
        <v>30</v>
      </c>
      <c r="E198" s="25" t="s">
        <v>31</v>
      </c>
      <c r="F198" s="25" t="s">
        <v>111</v>
      </c>
      <c r="G198" s="25" t="s">
        <v>53</v>
      </c>
      <c r="H198" s="25">
        <v>241118</v>
      </c>
      <c r="I198" s="25" t="s">
        <v>32</v>
      </c>
      <c r="J198" s="25">
        <v>1</v>
      </c>
      <c r="K198" s="25" t="s">
        <v>44</v>
      </c>
      <c r="L198" s="25" t="s">
        <v>31</v>
      </c>
      <c r="M198" s="25" t="s">
        <v>419</v>
      </c>
      <c r="N198" s="24" t="s">
        <v>420</v>
      </c>
      <c r="O198" s="25" t="s">
        <v>128</v>
      </c>
      <c r="P198" s="25"/>
      <c r="Q198" s="25"/>
      <c r="R198" s="25" t="s">
        <v>421</v>
      </c>
      <c r="S198" s="25" t="s">
        <v>141</v>
      </c>
      <c r="T198" s="25"/>
      <c r="U198" s="25" t="s">
        <v>131</v>
      </c>
      <c r="V198" s="25" t="s">
        <v>42</v>
      </c>
      <c r="W198" s="45">
        <v>9426</v>
      </c>
      <c r="X198" s="44">
        <f t="shared" si="29"/>
        <v>162.51724137931035</v>
      </c>
      <c r="Y198" s="46"/>
      <c r="Z198" s="25"/>
      <c r="AA198" s="25"/>
      <c r="AB198" s="30">
        <f t="shared" si="30"/>
        <v>0</v>
      </c>
      <c r="AC198" s="25"/>
      <c r="AD198" s="25"/>
      <c r="AE198" s="25" t="s">
        <v>43</v>
      </c>
      <c r="AF198" s="25" t="s">
        <v>35</v>
      </c>
      <c r="AG198" s="25"/>
      <c r="AH198" s="117"/>
    </row>
    <row r="199" spans="1:38" s="48" customFormat="1" ht="13.5" customHeight="1">
      <c r="A199" s="48" t="str">
        <f t="shared" si="28"/>
        <v>T161</v>
      </c>
      <c r="B199" s="25" t="s">
        <v>121</v>
      </c>
      <c r="C199" s="25">
        <v>22</v>
      </c>
      <c r="D199" s="25" t="s">
        <v>30</v>
      </c>
      <c r="E199" s="25" t="s">
        <v>31</v>
      </c>
      <c r="F199" s="25" t="s">
        <v>111</v>
      </c>
      <c r="G199" s="25" t="s">
        <v>53</v>
      </c>
      <c r="H199" s="25">
        <v>241118</v>
      </c>
      <c r="I199" s="25" t="s">
        <v>32</v>
      </c>
      <c r="J199" s="25">
        <v>1</v>
      </c>
      <c r="K199" s="25" t="s">
        <v>44</v>
      </c>
      <c r="L199" s="25" t="s">
        <v>31</v>
      </c>
      <c r="M199" s="25" t="s">
        <v>419</v>
      </c>
      <c r="N199" s="24" t="s">
        <v>422</v>
      </c>
      <c r="O199" s="25" t="s">
        <v>128</v>
      </c>
      <c r="P199" s="25"/>
      <c r="Q199" s="25"/>
      <c r="R199" s="25" t="s">
        <v>421</v>
      </c>
      <c r="S199" s="25" t="s">
        <v>141</v>
      </c>
      <c r="T199" s="25"/>
      <c r="U199" s="25" t="s">
        <v>131</v>
      </c>
      <c r="V199" s="25" t="s">
        <v>42</v>
      </c>
      <c r="W199" s="45">
        <v>9426</v>
      </c>
      <c r="X199" s="44">
        <f t="shared" si="29"/>
        <v>162.51724137931035</v>
      </c>
      <c r="Y199" s="46"/>
      <c r="Z199" s="25"/>
      <c r="AA199" s="25"/>
      <c r="AB199" s="30">
        <f t="shared" si="30"/>
        <v>0</v>
      </c>
      <c r="AC199" s="25"/>
      <c r="AD199" s="25"/>
      <c r="AE199" s="25" t="s">
        <v>43</v>
      </c>
      <c r="AF199" s="25" t="s">
        <v>35</v>
      </c>
      <c r="AG199" s="25"/>
      <c r="AH199" s="118"/>
    </row>
    <row r="200" spans="1:38" s="48" customFormat="1" ht="13.5" customHeight="1">
      <c r="A200" s="48" t="str">
        <f t="shared" si="28"/>
        <v>T162</v>
      </c>
      <c r="B200" s="25" t="s">
        <v>121</v>
      </c>
      <c r="C200" s="25">
        <v>23</v>
      </c>
      <c r="D200" s="25" t="s">
        <v>30</v>
      </c>
      <c r="E200" s="25" t="s">
        <v>31</v>
      </c>
      <c r="F200" s="25" t="s">
        <v>111</v>
      </c>
      <c r="G200" s="25" t="s">
        <v>53</v>
      </c>
      <c r="H200" s="25">
        <v>241118</v>
      </c>
      <c r="I200" s="25" t="s">
        <v>32</v>
      </c>
      <c r="J200" s="25">
        <v>1</v>
      </c>
      <c r="K200" s="25" t="s">
        <v>44</v>
      </c>
      <c r="L200" s="25" t="s">
        <v>31</v>
      </c>
      <c r="M200" s="25" t="s">
        <v>419</v>
      </c>
      <c r="N200" s="24" t="s">
        <v>423</v>
      </c>
      <c r="O200" s="25" t="s">
        <v>128</v>
      </c>
      <c r="P200" s="25"/>
      <c r="Q200" s="25"/>
      <c r="R200" s="25" t="s">
        <v>421</v>
      </c>
      <c r="S200" s="25" t="s">
        <v>141</v>
      </c>
      <c r="T200" s="25"/>
      <c r="U200" s="25" t="s">
        <v>131</v>
      </c>
      <c r="V200" s="25" t="s">
        <v>42</v>
      </c>
      <c r="W200" s="45">
        <v>9426</v>
      </c>
      <c r="X200" s="44">
        <f t="shared" si="29"/>
        <v>162.51724137931035</v>
      </c>
      <c r="Y200" s="46"/>
      <c r="Z200" s="25"/>
      <c r="AA200" s="25"/>
      <c r="AB200" s="30">
        <f t="shared" si="30"/>
        <v>0</v>
      </c>
      <c r="AC200" s="25"/>
      <c r="AD200" s="25"/>
      <c r="AE200" s="25" t="s">
        <v>43</v>
      </c>
      <c r="AF200" s="25" t="s">
        <v>35</v>
      </c>
      <c r="AG200" s="25"/>
      <c r="AH200" s="118"/>
    </row>
    <row r="201" spans="1:38" s="48" customFormat="1" ht="13.5" customHeight="1">
      <c r="A201" s="25" t="s">
        <v>1125</v>
      </c>
      <c r="B201" s="25" t="s">
        <v>378</v>
      </c>
      <c r="C201" s="25">
        <v>0</v>
      </c>
      <c r="D201" s="25" t="s">
        <v>30</v>
      </c>
      <c r="E201" s="25" t="s">
        <v>31</v>
      </c>
      <c r="F201" s="25" t="s">
        <v>111</v>
      </c>
      <c r="G201" s="25" t="s">
        <v>53</v>
      </c>
      <c r="H201" s="25">
        <v>241104</v>
      </c>
      <c r="I201" s="25" t="s">
        <v>32</v>
      </c>
      <c r="J201" s="25">
        <v>1</v>
      </c>
      <c r="K201" s="25"/>
      <c r="L201" s="25" t="s">
        <v>31</v>
      </c>
      <c r="M201" s="25" t="s">
        <v>379</v>
      </c>
      <c r="N201" s="24"/>
      <c r="O201" s="25"/>
      <c r="P201" s="25"/>
      <c r="Q201" s="25"/>
      <c r="R201" s="25"/>
      <c r="S201" s="25"/>
      <c r="T201" s="25"/>
      <c r="U201" s="25"/>
      <c r="V201" s="25" t="s">
        <v>42</v>
      </c>
      <c r="W201" s="26">
        <v>100</v>
      </c>
      <c r="X201" s="27">
        <f t="shared" si="29"/>
        <v>1.7241379310344827</v>
      </c>
      <c r="Y201" s="28"/>
      <c r="Z201" s="31"/>
      <c r="AA201" s="25"/>
      <c r="AB201" s="30">
        <f t="shared" si="30"/>
        <v>0</v>
      </c>
      <c r="AC201" s="25"/>
      <c r="AD201" s="25"/>
      <c r="AE201" s="25">
        <v>241104</v>
      </c>
      <c r="AF201" s="25" t="s">
        <v>360</v>
      </c>
      <c r="AG201" s="25"/>
      <c r="AH201" s="25"/>
    </row>
    <row r="202" spans="1:38" s="229" customFormat="1" ht="13.5" customHeight="1">
      <c r="A202" s="24" t="str">
        <f>"VGA"&amp;TEXT(ROW(A4),"000")</f>
        <v>VGA004</v>
      </c>
      <c r="B202" s="25" t="s">
        <v>54</v>
      </c>
      <c r="C202" s="25">
        <v>0</v>
      </c>
      <c r="D202" s="19" t="s">
        <v>30</v>
      </c>
      <c r="E202" s="25" t="s">
        <v>31</v>
      </c>
      <c r="F202" s="25" t="s">
        <v>111</v>
      </c>
      <c r="G202" s="25" t="s">
        <v>53</v>
      </c>
      <c r="H202" s="25">
        <v>241003</v>
      </c>
      <c r="I202" s="25" t="s">
        <v>32</v>
      </c>
      <c r="J202" s="25">
        <v>1</v>
      </c>
      <c r="K202" s="25"/>
      <c r="L202" s="25" t="s">
        <v>31</v>
      </c>
      <c r="M202" s="25"/>
      <c r="N202" s="24"/>
      <c r="O202" s="25"/>
      <c r="P202" s="25"/>
      <c r="Q202" s="25"/>
      <c r="R202" s="25"/>
      <c r="S202" s="25"/>
      <c r="T202" s="25"/>
      <c r="U202" s="25"/>
      <c r="V202" s="25" t="s">
        <v>42</v>
      </c>
      <c r="W202" s="26">
        <v>150</v>
      </c>
      <c r="X202" s="27">
        <f t="shared" si="29"/>
        <v>2.5862068965517242</v>
      </c>
      <c r="Y202" s="28"/>
      <c r="Z202" s="29"/>
      <c r="AA202" s="25"/>
      <c r="AB202" s="30">
        <f t="shared" si="30"/>
        <v>0</v>
      </c>
      <c r="AC202" s="25"/>
      <c r="AD202" s="25"/>
      <c r="AE202" s="25" t="s">
        <v>43</v>
      </c>
      <c r="AF202" s="25" t="s">
        <v>35</v>
      </c>
      <c r="AG202" s="25"/>
      <c r="AH202" s="25"/>
      <c r="AI202" s="48"/>
      <c r="AJ202" s="48"/>
      <c r="AK202" s="48"/>
      <c r="AL202" s="48"/>
    </row>
    <row r="203" spans="1:38" ht="13.5" customHeight="1">
      <c r="A203" s="24" t="str">
        <f>"VH"&amp;TEXT(ROW(A4),"000")</f>
        <v>VH004</v>
      </c>
      <c r="B203" s="25" t="s">
        <v>58</v>
      </c>
      <c r="C203" s="25">
        <v>0</v>
      </c>
      <c r="D203" s="19" t="s">
        <v>30</v>
      </c>
      <c r="E203" s="25" t="s">
        <v>31</v>
      </c>
      <c r="F203" s="25" t="s">
        <v>111</v>
      </c>
      <c r="G203" s="25" t="s">
        <v>53</v>
      </c>
      <c r="H203" s="25">
        <v>241003</v>
      </c>
      <c r="I203" s="25" t="s">
        <v>32</v>
      </c>
      <c r="J203" s="25">
        <v>1</v>
      </c>
      <c r="K203" s="25"/>
      <c r="L203" s="25" t="s">
        <v>31</v>
      </c>
      <c r="M203" s="25"/>
      <c r="N203" s="24"/>
      <c r="O203" s="25"/>
      <c r="P203" s="25"/>
      <c r="Q203" s="25"/>
      <c r="R203" s="25"/>
      <c r="S203" s="25"/>
      <c r="T203" s="25"/>
      <c r="U203" s="25"/>
      <c r="V203" s="25" t="s">
        <v>42</v>
      </c>
      <c r="W203" s="26">
        <v>199</v>
      </c>
      <c r="X203" s="27">
        <f t="shared" si="29"/>
        <v>3.4310344827586206</v>
      </c>
      <c r="Y203" s="28"/>
      <c r="Z203" s="31"/>
      <c r="AA203" s="25"/>
      <c r="AB203" s="30">
        <f t="shared" si="30"/>
        <v>0</v>
      </c>
      <c r="AC203" s="25"/>
      <c r="AD203" s="25"/>
      <c r="AE203" s="25" t="s">
        <v>43</v>
      </c>
      <c r="AF203" s="25" t="s">
        <v>35</v>
      </c>
      <c r="AG203" s="25"/>
      <c r="AH203" s="25"/>
    </row>
    <row r="204" spans="1:38">
      <c r="A204" s="24" t="str">
        <f>"WM"&amp;TEXT(ROW(A4),"000")</f>
        <v>WM004</v>
      </c>
      <c r="B204" s="25" t="s">
        <v>103</v>
      </c>
      <c r="C204" s="25">
        <v>0</v>
      </c>
      <c r="D204" s="19" t="s">
        <v>30</v>
      </c>
      <c r="E204" s="25" t="s">
        <v>31</v>
      </c>
      <c r="F204" s="25" t="s">
        <v>111</v>
      </c>
      <c r="G204" s="25" t="s">
        <v>53</v>
      </c>
      <c r="H204" s="25"/>
      <c r="I204" s="25" t="s">
        <v>32</v>
      </c>
      <c r="J204" s="25">
        <v>1</v>
      </c>
      <c r="K204" s="25" t="s">
        <v>87</v>
      </c>
      <c r="L204" s="25" t="s">
        <v>31</v>
      </c>
      <c r="M204" s="25" t="s">
        <v>104</v>
      </c>
      <c r="N204" s="24" t="s">
        <v>105</v>
      </c>
      <c r="O204" s="25"/>
      <c r="P204" s="25"/>
      <c r="Q204" s="25" t="s">
        <v>106</v>
      </c>
      <c r="R204" s="25"/>
      <c r="S204" s="25"/>
      <c r="T204" s="25"/>
      <c r="U204" s="25"/>
      <c r="V204" s="25" t="s">
        <v>42</v>
      </c>
      <c r="W204" s="26">
        <v>2870</v>
      </c>
      <c r="X204" s="27">
        <f t="shared" si="29"/>
        <v>49.482758620689658</v>
      </c>
      <c r="Y204" s="28"/>
      <c r="Z204" s="31"/>
      <c r="AA204" s="25"/>
      <c r="AB204" s="30">
        <f t="shared" si="30"/>
        <v>0</v>
      </c>
      <c r="AC204" s="25"/>
      <c r="AD204" s="25"/>
      <c r="AE204" s="25" t="s">
        <v>43</v>
      </c>
      <c r="AF204" s="25" t="s">
        <v>35</v>
      </c>
      <c r="AG204" s="25"/>
      <c r="AH204" s="25"/>
    </row>
    <row r="205" spans="1:38" s="194" customFormat="1">
      <c r="A205" s="24" t="str">
        <f>"WM"&amp;TEXT(ROW(A5),"000")</f>
        <v>WM005</v>
      </c>
      <c r="B205" s="25" t="s">
        <v>103</v>
      </c>
      <c r="C205" s="25">
        <v>0</v>
      </c>
      <c r="D205" s="19" t="s">
        <v>30</v>
      </c>
      <c r="E205" s="25" t="s">
        <v>31</v>
      </c>
      <c r="F205" s="25" t="s">
        <v>111</v>
      </c>
      <c r="G205" s="25" t="s">
        <v>53</v>
      </c>
      <c r="H205" s="25"/>
      <c r="I205" s="25" t="s">
        <v>32</v>
      </c>
      <c r="J205" s="25">
        <v>1</v>
      </c>
      <c r="K205" s="25" t="s">
        <v>87</v>
      </c>
      <c r="L205" s="25" t="s">
        <v>31</v>
      </c>
      <c r="M205" s="25" t="s">
        <v>104</v>
      </c>
      <c r="N205" s="24" t="s">
        <v>107</v>
      </c>
      <c r="O205" s="25"/>
      <c r="P205" s="25"/>
      <c r="Q205" s="25" t="s">
        <v>108</v>
      </c>
      <c r="R205" s="25"/>
      <c r="S205" s="25"/>
      <c r="T205" s="25"/>
      <c r="U205" s="25"/>
      <c r="V205" s="25" t="s">
        <v>42</v>
      </c>
      <c r="W205" s="26">
        <v>2870</v>
      </c>
      <c r="X205" s="27">
        <f t="shared" si="29"/>
        <v>49.482758620689658</v>
      </c>
      <c r="Y205" s="28"/>
      <c r="Z205" s="31"/>
      <c r="AA205" s="25"/>
      <c r="AB205" s="30">
        <f t="shared" si="30"/>
        <v>0</v>
      </c>
      <c r="AC205" s="25"/>
      <c r="AD205" s="25"/>
      <c r="AE205" s="25" t="s">
        <v>43</v>
      </c>
      <c r="AF205" s="25" t="s">
        <v>35</v>
      </c>
      <c r="AG205" s="25"/>
      <c r="AH205" s="25"/>
      <c r="AI205" s="75"/>
      <c r="AJ205" s="75"/>
      <c r="AK205" s="75"/>
      <c r="AL205" s="75"/>
    </row>
    <row r="206" spans="1:38" s="309" customFormat="1">
      <c r="A206" s="24" t="str">
        <f>"WM"&amp;TEXT(ROW(A6),"000")</f>
        <v>WM006</v>
      </c>
      <c r="B206" s="25" t="s">
        <v>103</v>
      </c>
      <c r="C206" s="25">
        <v>0</v>
      </c>
      <c r="D206" s="19" t="s">
        <v>30</v>
      </c>
      <c r="E206" s="25" t="s">
        <v>31</v>
      </c>
      <c r="F206" s="25" t="s">
        <v>111</v>
      </c>
      <c r="G206" s="25" t="s">
        <v>53</v>
      </c>
      <c r="H206" s="25"/>
      <c r="I206" s="25" t="s">
        <v>32</v>
      </c>
      <c r="J206" s="25">
        <v>1</v>
      </c>
      <c r="K206" s="25" t="s">
        <v>87</v>
      </c>
      <c r="L206" s="25" t="s">
        <v>31</v>
      </c>
      <c r="M206" s="25" t="s">
        <v>104</v>
      </c>
      <c r="N206" s="24" t="s">
        <v>109</v>
      </c>
      <c r="O206" s="25"/>
      <c r="P206" s="25"/>
      <c r="Q206" s="25" t="s">
        <v>108</v>
      </c>
      <c r="R206" s="25"/>
      <c r="S206" s="25"/>
      <c r="T206" s="25"/>
      <c r="U206" s="25"/>
      <c r="V206" s="25" t="s">
        <v>42</v>
      </c>
      <c r="W206" s="26">
        <v>2870</v>
      </c>
      <c r="X206" s="27">
        <f t="shared" si="29"/>
        <v>49.482758620689658</v>
      </c>
      <c r="Y206" s="28"/>
      <c r="Z206" s="31"/>
      <c r="AA206" s="25"/>
      <c r="AB206" s="30">
        <f t="shared" si="30"/>
        <v>0</v>
      </c>
      <c r="AC206" s="25"/>
      <c r="AD206" s="25"/>
      <c r="AE206" s="25" t="s">
        <v>43</v>
      </c>
      <c r="AF206" s="25" t="s">
        <v>35</v>
      </c>
      <c r="AG206" s="25"/>
      <c r="AH206" s="25"/>
    </row>
    <row r="207" spans="1:38" s="194" customFormat="1">
      <c r="A207" s="38" t="str">
        <f>"DB"&amp;TEXT(ROW(A4),"000")</f>
        <v>DB004</v>
      </c>
      <c r="B207" s="19" t="s">
        <v>436</v>
      </c>
      <c r="C207" s="19">
        <v>0</v>
      </c>
      <c r="D207" s="19" t="s">
        <v>30</v>
      </c>
      <c r="E207" s="19" t="s">
        <v>31</v>
      </c>
      <c r="F207" s="19" t="s">
        <v>433</v>
      </c>
      <c r="G207" s="19" t="s">
        <v>53</v>
      </c>
      <c r="H207" s="19">
        <v>241125</v>
      </c>
      <c r="I207" s="19" t="s">
        <v>168</v>
      </c>
      <c r="J207" s="19">
        <v>1</v>
      </c>
      <c r="K207" s="19" t="s">
        <v>437</v>
      </c>
      <c r="L207" s="19" t="s">
        <v>31</v>
      </c>
      <c r="M207" s="19" t="s">
        <v>438</v>
      </c>
      <c r="N207" s="38">
        <v>324016418</v>
      </c>
      <c r="O207" s="19"/>
      <c r="P207" s="19"/>
      <c r="Q207" s="19"/>
      <c r="R207" s="19"/>
      <c r="S207" s="19"/>
      <c r="T207" s="19"/>
      <c r="U207" s="19"/>
      <c r="V207" s="19" t="s">
        <v>42</v>
      </c>
      <c r="W207" s="39">
        <v>699</v>
      </c>
      <c r="X207" s="50" t="e">
        <f>W207/#REF!</f>
        <v>#REF!</v>
      </c>
      <c r="Y207" s="43"/>
      <c r="Z207" s="51"/>
      <c r="AA207" s="19"/>
      <c r="AB207" s="19"/>
      <c r="AC207" s="19"/>
      <c r="AD207" s="19"/>
      <c r="AE207" s="19">
        <v>241125</v>
      </c>
      <c r="AF207" s="19" t="s">
        <v>360</v>
      </c>
      <c r="AG207" s="19"/>
      <c r="AH207" s="19"/>
      <c r="AI207" s="75"/>
      <c r="AJ207" s="75"/>
      <c r="AK207" s="75"/>
      <c r="AL207" s="75"/>
    </row>
    <row r="208" spans="1:38" s="194" customFormat="1">
      <c r="A208" s="110" t="str">
        <f>"ACH"&amp;TEXT(ROW(A192),"000")</f>
        <v>ACH192</v>
      </c>
      <c r="B208" s="110" t="s">
        <v>945</v>
      </c>
      <c r="C208" s="110" t="s">
        <v>200</v>
      </c>
      <c r="D208" s="110" t="s">
        <v>30</v>
      </c>
      <c r="E208" s="66" t="s">
        <v>31</v>
      </c>
      <c r="F208" s="48" t="s">
        <v>111</v>
      </c>
      <c r="G208" s="110" t="s">
        <v>946</v>
      </c>
      <c r="H208" s="110" t="s">
        <v>200</v>
      </c>
      <c r="I208" s="110" t="s">
        <v>32</v>
      </c>
      <c r="J208" s="110"/>
      <c r="K208" s="110" t="s">
        <v>947</v>
      </c>
      <c r="L208" s="110" t="s">
        <v>200</v>
      </c>
      <c r="M208" s="110" t="s">
        <v>200</v>
      </c>
      <c r="N208" s="110" t="s">
        <v>200</v>
      </c>
      <c r="O208" s="110" t="s">
        <v>200</v>
      </c>
      <c r="P208" s="110" t="s">
        <v>200</v>
      </c>
      <c r="Q208" s="110" t="s">
        <v>200</v>
      </c>
      <c r="R208" s="110" t="s">
        <v>200</v>
      </c>
      <c r="S208" s="110" t="s">
        <v>200</v>
      </c>
      <c r="T208" s="110" t="s">
        <v>200</v>
      </c>
      <c r="U208" s="110" t="s">
        <v>200</v>
      </c>
      <c r="V208" s="110" t="s">
        <v>200</v>
      </c>
      <c r="W208" s="110" t="s">
        <v>200</v>
      </c>
      <c r="X208" s="110" t="s">
        <v>200</v>
      </c>
      <c r="Y208" s="110" t="s">
        <v>200</v>
      </c>
      <c r="Z208" s="110" t="s">
        <v>200</v>
      </c>
      <c r="AA208" s="110" t="s">
        <v>200</v>
      </c>
      <c r="AB208" s="110" t="s">
        <v>200</v>
      </c>
      <c r="AC208" s="110" t="s">
        <v>200</v>
      </c>
      <c r="AD208" s="110" t="s">
        <v>200</v>
      </c>
      <c r="AE208" s="110" t="s">
        <v>675</v>
      </c>
      <c r="AF208" s="110" t="s">
        <v>782</v>
      </c>
      <c r="AG208" s="110"/>
      <c r="AH208" s="110"/>
      <c r="AI208" s="75"/>
      <c r="AJ208" s="75"/>
      <c r="AK208" s="75"/>
      <c r="AL208" s="75"/>
    </row>
    <row r="209" spans="1:38" s="238" customFormat="1">
      <c r="A209" s="70" t="str">
        <f>"HSA"&amp;TEXT(ROW(A108),"000")</f>
        <v>HSA108</v>
      </c>
      <c r="B209" s="70" t="s">
        <v>540</v>
      </c>
      <c r="C209" s="70"/>
      <c r="D209" s="66" t="s">
        <v>30</v>
      </c>
      <c r="E209" s="66" t="s">
        <v>31</v>
      </c>
      <c r="F209" s="48" t="s">
        <v>111</v>
      </c>
      <c r="G209" s="48" t="s">
        <v>539</v>
      </c>
      <c r="H209" s="70"/>
      <c r="I209" s="48" t="s">
        <v>32</v>
      </c>
      <c r="J209" s="70">
        <v>1</v>
      </c>
      <c r="K209" s="70"/>
      <c r="L209" s="70"/>
      <c r="M209" s="70"/>
      <c r="N209" s="71"/>
      <c r="O209" s="70"/>
      <c r="P209" s="70"/>
      <c r="Q209" s="70"/>
      <c r="R209" s="70"/>
      <c r="S209" s="70"/>
      <c r="T209" s="70"/>
      <c r="U209" s="70"/>
      <c r="V209" s="70"/>
      <c r="W209" s="72"/>
      <c r="X209" s="70"/>
      <c r="Y209" s="70"/>
      <c r="Z209" s="70"/>
      <c r="AA209" s="70"/>
      <c r="AB209" s="70"/>
      <c r="AC209" s="70"/>
      <c r="AD209" s="70"/>
      <c r="AE209" s="66">
        <v>250903</v>
      </c>
      <c r="AF209" s="66" t="s">
        <v>35</v>
      </c>
      <c r="AG209" s="70"/>
      <c r="AH209" s="70"/>
      <c r="AI209" s="298"/>
      <c r="AJ209" s="298"/>
      <c r="AK209" s="298"/>
      <c r="AL209" s="75"/>
    </row>
    <row r="210" spans="1:38" s="238" customFormat="1">
      <c r="A210" s="70" t="str">
        <f>"HSA"&amp;TEXT(ROW(A109),"000")</f>
        <v>HSA109</v>
      </c>
      <c r="B210" s="70" t="s">
        <v>540</v>
      </c>
      <c r="C210" s="70"/>
      <c r="D210" s="66" t="s">
        <v>30</v>
      </c>
      <c r="E210" s="66" t="s">
        <v>31</v>
      </c>
      <c r="F210" s="48" t="s">
        <v>111</v>
      </c>
      <c r="G210" s="48" t="s">
        <v>539</v>
      </c>
      <c r="H210" s="73"/>
      <c r="I210" s="48" t="s">
        <v>32</v>
      </c>
      <c r="J210" s="70">
        <v>1</v>
      </c>
      <c r="K210" s="70"/>
      <c r="L210" s="70"/>
      <c r="M210" s="70"/>
      <c r="N210" s="71"/>
      <c r="O210" s="70"/>
      <c r="P210" s="70"/>
      <c r="Q210" s="70"/>
      <c r="R210" s="70"/>
      <c r="S210" s="70"/>
      <c r="T210" s="70"/>
      <c r="U210" s="70"/>
      <c r="V210" s="70"/>
      <c r="W210" s="72"/>
      <c r="X210" s="70"/>
      <c r="Y210" s="70"/>
      <c r="Z210" s="70"/>
      <c r="AA210" s="70"/>
      <c r="AB210" s="70"/>
      <c r="AC210" s="70"/>
      <c r="AD210" s="70"/>
      <c r="AE210" s="66">
        <v>250903</v>
      </c>
      <c r="AF210" s="66" t="s">
        <v>35</v>
      </c>
      <c r="AG210" s="70"/>
      <c r="AH210" s="70"/>
      <c r="AI210" s="75"/>
      <c r="AJ210" s="75"/>
      <c r="AK210" s="75"/>
      <c r="AL210" s="75"/>
    </row>
    <row r="211" spans="1:38" s="238" customFormat="1">
      <c r="A211" s="25" t="str">
        <f>"KB"&amp;TEXT(ROW(A116),"000")</f>
        <v>KB116</v>
      </c>
      <c r="B211" s="110" t="s">
        <v>567</v>
      </c>
      <c r="C211" s="110">
        <v>2</v>
      </c>
      <c r="D211" s="110" t="s">
        <v>30</v>
      </c>
      <c r="E211" s="110" t="s">
        <v>31</v>
      </c>
      <c r="F211" s="110" t="s">
        <v>111</v>
      </c>
      <c r="G211" s="110" t="s">
        <v>539</v>
      </c>
      <c r="H211" s="110" t="s">
        <v>200</v>
      </c>
      <c r="I211" s="110" t="s">
        <v>32</v>
      </c>
      <c r="J211" s="110">
        <v>1</v>
      </c>
      <c r="K211" s="110" t="s">
        <v>604</v>
      </c>
      <c r="L211" s="110" t="s">
        <v>200</v>
      </c>
      <c r="M211" s="110" t="s">
        <v>696</v>
      </c>
      <c r="N211" s="110" t="s">
        <v>697</v>
      </c>
      <c r="O211" s="110"/>
      <c r="P211" s="110"/>
      <c r="Q211" s="110"/>
      <c r="R211" s="110"/>
      <c r="S211" s="110"/>
      <c r="T211" s="110"/>
      <c r="U211" s="110"/>
      <c r="V211" s="110" t="s">
        <v>62</v>
      </c>
      <c r="W211" s="110"/>
      <c r="X211" s="110"/>
      <c r="Y211" s="110"/>
      <c r="Z211" s="110"/>
      <c r="AA211" s="110"/>
      <c r="AB211" s="110"/>
      <c r="AC211" s="110"/>
      <c r="AD211" s="110"/>
      <c r="AE211" s="110" t="s">
        <v>675</v>
      </c>
      <c r="AF211" s="110" t="s">
        <v>35</v>
      </c>
      <c r="AG211" s="110"/>
      <c r="AH211" s="110"/>
      <c r="AI211" s="75"/>
      <c r="AJ211" s="75"/>
      <c r="AK211" s="75"/>
      <c r="AL211" s="75"/>
    </row>
    <row r="212" spans="1:38" s="238" customFormat="1">
      <c r="A212" s="25" t="str">
        <f>"KB"&amp;TEXT(ROW(A117),"000")</f>
        <v>KB117</v>
      </c>
      <c r="B212" s="110" t="s">
        <v>567</v>
      </c>
      <c r="C212" s="110">
        <v>3</v>
      </c>
      <c r="D212" s="110" t="s">
        <v>30</v>
      </c>
      <c r="E212" s="110" t="s">
        <v>31</v>
      </c>
      <c r="F212" s="110" t="s">
        <v>111</v>
      </c>
      <c r="G212" s="110" t="s">
        <v>53</v>
      </c>
      <c r="H212" s="110" t="s">
        <v>200</v>
      </c>
      <c r="I212" s="110" t="s">
        <v>32</v>
      </c>
      <c r="J212" s="110">
        <v>1</v>
      </c>
      <c r="K212" s="110" t="s">
        <v>698</v>
      </c>
      <c r="L212" s="110" t="s">
        <v>200</v>
      </c>
      <c r="M212" s="110" t="s">
        <v>622</v>
      </c>
      <c r="N212" s="110" t="s">
        <v>200</v>
      </c>
      <c r="O212" s="110"/>
      <c r="P212" s="110"/>
      <c r="Q212" s="110"/>
      <c r="R212" s="110"/>
      <c r="S212" s="110"/>
      <c r="T212" s="110"/>
      <c r="U212" s="110"/>
      <c r="V212" s="110" t="s">
        <v>42</v>
      </c>
      <c r="W212" s="110"/>
      <c r="X212" s="110"/>
      <c r="Y212" s="110"/>
      <c r="Z212" s="110"/>
      <c r="AA212" s="110"/>
      <c r="AB212" s="110"/>
      <c r="AC212" s="110"/>
      <c r="AD212" s="110"/>
      <c r="AE212" s="110" t="s">
        <v>675</v>
      </c>
      <c r="AF212" s="110" t="s">
        <v>35</v>
      </c>
      <c r="AG212" s="110"/>
      <c r="AH212" s="110"/>
      <c r="AI212" s="75"/>
      <c r="AJ212" s="75"/>
      <c r="AK212" s="75"/>
      <c r="AL212" s="75"/>
    </row>
    <row r="213" spans="1:38" s="309" customFormat="1">
      <c r="A213" s="305" t="str">
        <f>"LT"&amp;TEXT(ROW(A85),"000")</f>
        <v>LT085</v>
      </c>
      <c r="B213" s="110" t="s">
        <v>1038</v>
      </c>
      <c r="C213" s="110"/>
      <c r="D213" s="110" t="s">
        <v>30</v>
      </c>
      <c r="E213" s="110" t="s">
        <v>31</v>
      </c>
      <c r="F213" s="110" t="s">
        <v>706</v>
      </c>
      <c r="G213" s="110" t="s">
        <v>53</v>
      </c>
      <c r="H213" s="110" t="s">
        <v>801</v>
      </c>
      <c r="I213" s="110" t="s">
        <v>801</v>
      </c>
      <c r="J213" s="48">
        <v>1</v>
      </c>
      <c r="K213" s="110" t="s">
        <v>1039</v>
      </c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 t="s">
        <v>42</v>
      </c>
      <c r="W213" s="48" t="s">
        <v>200</v>
      </c>
      <c r="X213" s="306" t="s">
        <v>200</v>
      </c>
      <c r="Y213" s="110"/>
      <c r="Z213" s="110"/>
      <c r="AA213" s="110"/>
      <c r="AB213" s="110"/>
      <c r="AC213" s="110"/>
      <c r="AD213" s="110"/>
      <c r="AE213" s="110" t="s">
        <v>675</v>
      </c>
      <c r="AF213" s="110" t="s">
        <v>782</v>
      </c>
      <c r="AG213" s="110" t="s">
        <v>864</v>
      </c>
      <c r="AH213" s="110"/>
    </row>
    <row r="214" spans="1:38" s="238" customFormat="1">
      <c r="A214" s="48" t="str">
        <f>"L"&amp;TEXT(ROW(A206),"000")</f>
        <v>L206</v>
      </c>
      <c r="B214" s="110" t="s">
        <v>110</v>
      </c>
      <c r="C214" s="110">
        <v>28</v>
      </c>
      <c r="D214" s="110" t="s">
        <v>30</v>
      </c>
      <c r="E214" s="110" t="s">
        <v>31</v>
      </c>
      <c r="F214" s="110" t="s">
        <v>111</v>
      </c>
      <c r="G214" s="110" t="s">
        <v>656</v>
      </c>
      <c r="H214" s="110">
        <v>251211</v>
      </c>
      <c r="I214" s="110" t="s">
        <v>32</v>
      </c>
      <c r="J214" s="110">
        <v>1</v>
      </c>
      <c r="K214" s="110" t="s">
        <v>63</v>
      </c>
      <c r="L214" s="110" t="s">
        <v>31</v>
      </c>
      <c r="M214" s="110" t="s">
        <v>652</v>
      </c>
      <c r="N214" s="110" t="s">
        <v>653</v>
      </c>
      <c r="O214" s="110" t="s">
        <v>113</v>
      </c>
      <c r="P214" s="110" t="s">
        <v>654</v>
      </c>
      <c r="Q214" s="110" t="s">
        <v>655</v>
      </c>
      <c r="R214" s="110" t="s">
        <v>283</v>
      </c>
      <c r="S214" s="110" t="s">
        <v>131</v>
      </c>
      <c r="T214" s="110" t="s">
        <v>118</v>
      </c>
      <c r="U214" s="110" t="s">
        <v>119</v>
      </c>
      <c r="V214" s="110" t="s">
        <v>42</v>
      </c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75"/>
      <c r="AJ214" s="75"/>
      <c r="AK214" s="75"/>
      <c r="AL214" s="75"/>
    </row>
    <row r="215" spans="1:38" s="238" customFormat="1">
      <c r="A215" s="70" t="str">
        <f>"TBA"&amp;TEXT(ROW(A2),"000")</f>
        <v>TBA002</v>
      </c>
      <c r="B215" s="70" t="s">
        <v>541</v>
      </c>
      <c r="C215" s="70"/>
      <c r="D215" s="66" t="s">
        <v>30</v>
      </c>
      <c r="E215" s="66" t="s">
        <v>31</v>
      </c>
      <c r="F215" s="48" t="s">
        <v>111</v>
      </c>
      <c r="G215" s="70" t="s">
        <v>53</v>
      </c>
      <c r="H215" s="66">
        <v>250903</v>
      </c>
      <c r="I215" s="70" t="s">
        <v>32</v>
      </c>
      <c r="J215" s="70">
        <v>1</v>
      </c>
      <c r="K215" s="70"/>
      <c r="L215" s="70"/>
      <c r="M215" s="70"/>
      <c r="N215" s="71"/>
      <c r="O215" s="70"/>
      <c r="P215" s="70"/>
      <c r="Q215" s="70"/>
      <c r="R215" s="70"/>
      <c r="S215" s="70"/>
      <c r="T215" s="70"/>
      <c r="U215" s="70"/>
      <c r="V215" s="70" t="s">
        <v>42</v>
      </c>
      <c r="W215" s="72"/>
      <c r="X215" s="70"/>
      <c r="Y215" s="70"/>
      <c r="Z215" s="70"/>
      <c r="AA215" s="70"/>
      <c r="AB215" s="70"/>
      <c r="AC215" s="70"/>
      <c r="AD215" s="70"/>
      <c r="AE215" s="66">
        <v>250903</v>
      </c>
      <c r="AF215" s="70" t="s">
        <v>360</v>
      </c>
      <c r="AG215" s="70"/>
      <c r="AH215" s="70"/>
      <c r="AI215" s="75"/>
      <c r="AJ215" s="75"/>
      <c r="AK215" s="75"/>
      <c r="AL215" s="75"/>
    </row>
    <row r="216" spans="1:38" s="238" customFormat="1">
      <c r="A216" s="70" t="str">
        <f>"TBA"&amp;TEXT(ROW(A3),"000")</f>
        <v>TBA003</v>
      </c>
      <c r="B216" s="70" t="s">
        <v>541</v>
      </c>
      <c r="C216" s="70"/>
      <c r="D216" s="66" t="s">
        <v>30</v>
      </c>
      <c r="E216" s="66" t="s">
        <v>31</v>
      </c>
      <c r="F216" s="48" t="s">
        <v>111</v>
      </c>
      <c r="G216" s="70" t="s">
        <v>53</v>
      </c>
      <c r="H216" s="66">
        <v>250903</v>
      </c>
      <c r="I216" s="70" t="s">
        <v>32</v>
      </c>
      <c r="J216" s="70">
        <v>1</v>
      </c>
      <c r="K216" s="70"/>
      <c r="L216" s="70"/>
      <c r="M216" s="70"/>
      <c r="N216" s="71"/>
      <c r="O216" s="70"/>
      <c r="P216" s="70"/>
      <c r="Q216" s="70"/>
      <c r="R216" s="70"/>
      <c r="S216" s="70"/>
      <c r="T216" s="70"/>
      <c r="U216" s="70"/>
      <c r="V216" s="70" t="s">
        <v>42</v>
      </c>
      <c r="W216" s="72"/>
      <c r="X216" s="70"/>
      <c r="Y216" s="70"/>
      <c r="Z216" s="70"/>
      <c r="AA216" s="70"/>
      <c r="AB216" s="70"/>
      <c r="AC216" s="70"/>
      <c r="AD216" s="70"/>
      <c r="AE216" s="66">
        <v>250903</v>
      </c>
      <c r="AF216" s="70" t="s">
        <v>360</v>
      </c>
      <c r="AG216" s="70"/>
      <c r="AH216" s="70"/>
      <c r="AI216" s="75"/>
      <c r="AJ216" s="75"/>
      <c r="AK216" s="75"/>
      <c r="AL216" s="75"/>
    </row>
    <row r="217" spans="1:38" s="238" customFormat="1">
      <c r="A217" s="263">
        <v>2305</v>
      </c>
      <c r="B217" s="263" t="s">
        <v>943</v>
      </c>
      <c r="C217" s="263" t="s">
        <v>200</v>
      </c>
      <c r="D217" s="263" t="s">
        <v>200</v>
      </c>
      <c r="E217" s="263" t="s">
        <v>200</v>
      </c>
      <c r="F217" s="263" t="s">
        <v>200</v>
      </c>
      <c r="G217" s="291" t="s">
        <v>834</v>
      </c>
      <c r="H217" s="263" t="s">
        <v>200</v>
      </c>
      <c r="I217" s="263" t="s">
        <v>801</v>
      </c>
      <c r="J217" s="263">
        <v>1</v>
      </c>
      <c r="K217" s="263" t="s">
        <v>944</v>
      </c>
      <c r="L217" s="263" t="s">
        <v>200</v>
      </c>
      <c r="M217" s="263" t="s">
        <v>200</v>
      </c>
      <c r="N217" s="263" t="s">
        <v>200</v>
      </c>
      <c r="O217" s="263" t="s">
        <v>200</v>
      </c>
      <c r="P217" s="263" t="s">
        <v>200</v>
      </c>
      <c r="Q217" s="263" t="s">
        <v>200</v>
      </c>
      <c r="R217" s="263" t="s">
        <v>200</v>
      </c>
      <c r="S217" s="263" t="s">
        <v>200</v>
      </c>
      <c r="T217" s="263" t="s">
        <v>200</v>
      </c>
      <c r="U217" s="263" t="s">
        <v>200</v>
      </c>
      <c r="V217" s="263" t="s">
        <v>200</v>
      </c>
      <c r="W217" s="263" t="s">
        <v>200</v>
      </c>
      <c r="X217" s="263" t="s">
        <v>200</v>
      </c>
      <c r="Y217" s="263" t="s">
        <v>200</v>
      </c>
      <c r="Z217" s="263" t="s">
        <v>200</v>
      </c>
      <c r="AA217" s="263" t="s">
        <v>200</v>
      </c>
      <c r="AB217" s="263" t="s">
        <v>200</v>
      </c>
      <c r="AC217" s="263" t="s">
        <v>200</v>
      </c>
      <c r="AD217" s="263" t="s">
        <v>200</v>
      </c>
      <c r="AE217" s="263" t="s">
        <v>675</v>
      </c>
      <c r="AF217" s="263" t="s">
        <v>35</v>
      </c>
      <c r="AG217" s="263" t="s">
        <v>864</v>
      </c>
      <c r="AH217" s="263"/>
      <c r="AI217" s="75"/>
      <c r="AJ217" s="75"/>
      <c r="AK217" s="75"/>
      <c r="AL217" s="75"/>
    </row>
    <row r="218" spans="1:38" s="238" customFormat="1">
      <c r="A218" s="263">
        <v>9016</v>
      </c>
      <c r="B218" s="263" t="s">
        <v>949</v>
      </c>
      <c r="C218" s="263" t="s">
        <v>200</v>
      </c>
      <c r="D218" s="263" t="s">
        <v>200</v>
      </c>
      <c r="E218" s="263" t="s">
        <v>200</v>
      </c>
      <c r="F218" s="263" t="s">
        <v>200</v>
      </c>
      <c r="G218" s="291" t="s">
        <v>834</v>
      </c>
      <c r="H218" s="263" t="s">
        <v>200</v>
      </c>
      <c r="I218" s="263" t="s">
        <v>801</v>
      </c>
      <c r="J218" s="263" t="s">
        <v>200</v>
      </c>
      <c r="K218" s="263" t="s">
        <v>947</v>
      </c>
      <c r="L218" s="263" t="s">
        <v>200</v>
      </c>
      <c r="M218" s="263" t="s">
        <v>200</v>
      </c>
      <c r="N218" s="263" t="s">
        <v>200</v>
      </c>
      <c r="O218" s="263" t="s">
        <v>200</v>
      </c>
      <c r="P218" s="263" t="s">
        <v>200</v>
      </c>
      <c r="Q218" s="263" t="s">
        <v>200</v>
      </c>
      <c r="R218" s="263" t="s">
        <v>200</v>
      </c>
      <c r="S218" s="263" t="s">
        <v>200</v>
      </c>
      <c r="T218" s="263" t="s">
        <v>200</v>
      </c>
      <c r="U218" s="263" t="s">
        <v>200</v>
      </c>
      <c r="V218" s="263" t="s">
        <v>200</v>
      </c>
      <c r="W218" s="263" t="s">
        <v>200</v>
      </c>
      <c r="X218" s="263" t="s">
        <v>200</v>
      </c>
      <c r="Y218" s="263" t="s">
        <v>200</v>
      </c>
      <c r="Z218" s="263" t="s">
        <v>200</v>
      </c>
      <c r="AA218" s="263" t="s">
        <v>200</v>
      </c>
      <c r="AB218" s="263" t="s">
        <v>200</v>
      </c>
      <c r="AC218" s="263" t="s">
        <v>200</v>
      </c>
      <c r="AD218" s="263" t="s">
        <v>200</v>
      </c>
      <c r="AE218" s="263" t="s">
        <v>675</v>
      </c>
      <c r="AF218" s="263" t="s">
        <v>35</v>
      </c>
      <c r="AG218" s="263" t="s">
        <v>864</v>
      </c>
      <c r="AH218" s="263"/>
      <c r="AI218" s="75"/>
      <c r="AJ218" s="75"/>
      <c r="AK218" s="75"/>
      <c r="AL218" s="75"/>
    </row>
    <row r="219" spans="1:38" s="238" customFormat="1">
      <c r="A219" s="263">
        <v>9017</v>
      </c>
      <c r="B219" s="263" t="s">
        <v>950</v>
      </c>
      <c r="C219" s="263" t="s">
        <v>200</v>
      </c>
      <c r="D219" s="263" t="s">
        <v>200</v>
      </c>
      <c r="E219" s="263" t="s">
        <v>200</v>
      </c>
      <c r="F219" s="263" t="s">
        <v>200</v>
      </c>
      <c r="G219" s="291" t="s">
        <v>834</v>
      </c>
      <c r="H219" s="263" t="s">
        <v>200</v>
      </c>
      <c r="I219" s="263" t="s">
        <v>801</v>
      </c>
      <c r="J219" s="263" t="s">
        <v>200</v>
      </c>
      <c r="K219" s="263" t="s">
        <v>947</v>
      </c>
      <c r="L219" s="263" t="s">
        <v>200</v>
      </c>
      <c r="M219" s="263" t="s">
        <v>200</v>
      </c>
      <c r="N219" s="263" t="s">
        <v>200</v>
      </c>
      <c r="O219" s="263" t="s">
        <v>200</v>
      </c>
      <c r="P219" s="263" t="s">
        <v>200</v>
      </c>
      <c r="Q219" s="263" t="s">
        <v>200</v>
      </c>
      <c r="R219" s="263" t="s">
        <v>200</v>
      </c>
      <c r="S219" s="263" t="s">
        <v>200</v>
      </c>
      <c r="T219" s="263" t="s">
        <v>200</v>
      </c>
      <c r="U219" s="263" t="s">
        <v>200</v>
      </c>
      <c r="V219" s="263" t="s">
        <v>200</v>
      </c>
      <c r="W219" s="263" t="s">
        <v>200</v>
      </c>
      <c r="X219" s="263" t="s">
        <v>200</v>
      </c>
      <c r="Y219" s="263" t="s">
        <v>200</v>
      </c>
      <c r="Z219" s="263" t="s">
        <v>200</v>
      </c>
      <c r="AA219" s="263" t="s">
        <v>200</v>
      </c>
      <c r="AB219" s="263" t="s">
        <v>200</v>
      </c>
      <c r="AC219" s="263" t="s">
        <v>200</v>
      </c>
      <c r="AD219" s="263" t="s">
        <v>200</v>
      </c>
      <c r="AE219" s="263" t="s">
        <v>675</v>
      </c>
      <c r="AF219" s="263" t="s">
        <v>35</v>
      </c>
      <c r="AG219" s="263" t="s">
        <v>864</v>
      </c>
      <c r="AH219" s="263"/>
      <c r="AI219" s="75"/>
      <c r="AJ219" s="75"/>
      <c r="AK219" s="75"/>
      <c r="AL219" s="75"/>
    </row>
    <row r="220" spans="1:38" s="238" customFormat="1">
      <c r="A220" s="263">
        <v>9018</v>
      </c>
      <c r="B220" s="263" t="s">
        <v>951</v>
      </c>
      <c r="C220" s="263" t="s">
        <v>200</v>
      </c>
      <c r="D220" s="263" t="s">
        <v>200</v>
      </c>
      <c r="E220" s="263" t="s">
        <v>200</v>
      </c>
      <c r="F220" s="263" t="s">
        <v>200</v>
      </c>
      <c r="G220" s="291" t="s">
        <v>834</v>
      </c>
      <c r="H220" s="263" t="s">
        <v>200</v>
      </c>
      <c r="I220" s="263" t="s">
        <v>801</v>
      </c>
      <c r="J220" s="263" t="s">
        <v>200</v>
      </c>
      <c r="K220" s="263" t="s">
        <v>947</v>
      </c>
      <c r="L220" s="263" t="s">
        <v>200</v>
      </c>
      <c r="M220" s="263" t="s">
        <v>200</v>
      </c>
      <c r="N220" s="263" t="s">
        <v>200</v>
      </c>
      <c r="O220" s="263" t="s">
        <v>200</v>
      </c>
      <c r="P220" s="263" t="s">
        <v>200</v>
      </c>
      <c r="Q220" s="263" t="s">
        <v>200</v>
      </c>
      <c r="R220" s="263" t="s">
        <v>200</v>
      </c>
      <c r="S220" s="263" t="s">
        <v>200</v>
      </c>
      <c r="T220" s="263" t="s">
        <v>200</v>
      </c>
      <c r="U220" s="263" t="s">
        <v>200</v>
      </c>
      <c r="V220" s="263" t="s">
        <v>200</v>
      </c>
      <c r="W220" s="263" t="s">
        <v>200</v>
      </c>
      <c r="X220" s="263" t="s">
        <v>200</v>
      </c>
      <c r="Y220" s="263" t="s">
        <v>200</v>
      </c>
      <c r="Z220" s="263" t="s">
        <v>200</v>
      </c>
      <c r="AA220" s="263" t="s">
        <v>200</v>
      </c>
      <c r="AB220" s="263" t="s">
        <v>200</v>
      </c>
      <c r="AC220" s="263" t="s">
        <v>200</v>
      </c>
      <c r="AD220" s="263" t="s">
        <v>200</v>
      </c>
      <c r="AE220" s="263" t="s">
        <v>675</v>
      </c>
      <c r="AF220" s="263" t="s">
        <v>35</v>
      </c>
      <c r="AG220" s="263" t="s">
        <v>864</v>
      </c>
      <c r="AH220" s="263"/>
      <c r="AI220" s="75"/>
      <c r="AJ220" s="75"/>
      <c r="AK220" s="75"/>
      <c r="AL220" s="75"/>
    </row>
    <row r="221" spans="1:38" s="238" customFormat="1">
      <c r="A221" s="275">
        <v>1400</v>
      </c>
      <c r="B221" s="263" t="s">
        <v>952</v>
      </c>
      <c r="C221" s="263" t="s">
        <v>200</v>
      </c>
      <c r="D221" s="263" t="s">
        <v>200</v>
      </c>
      <c r="E221" s="263" t="s">
        <v>200</v>
      </c>
      <c r="F221" s="263" t="s">
        <v>200</v>
      </c>
      <c r="G221" s="291" t="s">
        <v>834</v>
      </c>
      <c r="H221" s="263" t="s">
        <v>200</v>
      </c>
      <c r="I221" s="263" t="s">
        <v>801</v>
      </c>
      <c r="J221" s="263" t="s">
        <v>200</v>
      </c>
      <c r="K221" s="263" t="s">
        <v>908</v>
      </c>
      <c r="L221" s="263" t="s">
        <v>953</v>
      </c>
      <c r="M221" s="263"/>
      <c r="N221" s="263"/>
      <c r="O221" s="263"/>
      <c r="P221" s="263"/>
      <c r="Q221" s="263"/>
      <c r="R221" s="263"/>
      <c r="S221" s="263"/>
      <c r="T221" s="263"/>
      <c r="U221" s="263" t="s">
        <v>200</v>
      </c>
      <c r="V221" s="263" t="s">
        <v>200</v>
      </c>
      <c r="W221" s="265">
        <v>1000</v>
      </c>
      <c r="X221" s="265"/>
      <c r="Y221" s="263"/>
      <c r="Z221" s="263"/>
      <c r="AA221" s="263"/>
      <c r="AB221" s="263"/>
      <c r="AC221" s="263"/>
      <c r="AD221" s="263"/>
      <c r="AE221" s="263" t="s">
        <v>675</v>
      </c>
      <c r="AF221" s="263" t="s">
        <v>35</v>
      </c>
      <c r="AG221" s="263" t="s">
        <v>864</v>
      </c>
      <c r="AH221" s="263"/>
      <c r="AI221" s="75"/>
      <c r="AJ221" s="75"/>
      <c r="AK221" s="75"/>
      <c r="AL221" s="75"/>
    </row>
    <row r="222" spans="1:38" s="238" customFormat="1">
      <c r="A222" s="275">
        <v>1401</v>
      </c>
      <c r="B222" s="263" t="s">
        <v>952</v>
      </c>
      <c r="C222" s="263" t="s">
        <v>200</v>
      </c>
      <c r="D222" s="263" t="s">
        <v>200</v>
      </c>
      <c r="E222" s="263" t="s">
        <v>200</v>
      </c>
      <c r="F222" s="263" t="s">
        <v>200</v>
      </c>
      <c r="G222" s="291" t="s">
        <v>834</v>
      </c>
      <c r="H222" s="263" t="s">
        <v>200</v>
      </c>
      <c r="I222" s="263" t="s">
        <v>801</v>
      </c>
      <c r="J222" s="263" t="s">
        <v>200</v>
      </c>
      <c r="K222" s="263" t="s">
        <v>954</v>
      </c>
      <c r="L222" s="263"/>
      <c r="M222" s="263"/>
      <c r="N222" s="263"/>
      <c r="O222" s="263"/>
      <c r="P222" s="263"/>
      <c r="Q222" s="263"/>
      <c r="R222" s="263"/>
      <c r="S222" s="263"/>
      <c r="T222" s="263"/>
      <c r="U222" s="263" t="s">
        <v>200</v>
      </c>
      <c r="V222" s="263" t="s">
        <v>200</v>
      </c>
      <c r="W222" s="265">
        <v>1000</v>
      </c>
      <c r="X222" s="265"/>
      <c r="Y222" s="263"/>
      <c r="Z222" s="263"/>
      <c r="AA222" s="263"/>
      <c r="AB222" s="263"/>
      <c r="AC222" s="263"/>
      <c r="AD222" s="263"/>
      <c r="AE222" s="263" t="s">
        <v>675</v>
      </c>
      <c r="AF222" s="263" t="s">
        <v>35</v>
      </c>
      <c r="AG222" s="263" t="s">
        <v>864</v>
      </c>
      <c r="AH222" s="263"/>
      <c r="AI222" s="75"/>
      <c r="AJ222" s="75"/>
      <c r="AK222" s="75"/>
      <c r="AL222" s="75"/>
    </row>
    <row r="223" spans="1:38" s="238" customFormat="1">
      <c r="A223" s="275">
        <v>1402</v>
      </c>
      <c r="B223" s="263" t="s">
        <v>952</v>
      </c>
      <c r="C223" s="263" t="s">
        <v>200</v>
      </c>
      <c r="D223" s="263" t="s">
        <v>200</v>
      </c>
      <c r="E223" s="263" t="s">
        <v>200</v>
      </c>
      <c r="F223" s="263" t="s">
        <v>200</v>
      </c>
      <c r="G223" s="291" t="s">
        <v>834</v>
      </c>
      <c r="H223" s="263" t="s">
        <v>200</v>
      </c>
      <c r="I223" s="263" t="s">
        <v>801</v>
      </c>
      <c r="J223" s="263" t="s">
        <v>200</v>
      </c>
      <c r="K223" s="263" t="s">
        <v>955</v>
      </c>
      <c r="L223" s="263" t="s">
        <v>956</v>
      </c>
      <c r="M223" s="263" t="s">
        <v>957</v>
      </c>
      <c r="N223" s="263"/>
      <c r="O223" s="263"/>
      <c r="P223" s="263"/>
      <c r="Q223" s="263"/>
      <c r="R223" s="263"/>
      <c r="S223" s="263"/>
      <c r="T223" s="263"/>
      <c r="U223" s="263" t="s">
        <v>200</v>
      </c>
      <c r="V223" s="263" t="s">
        <v>200</v>
      </c>
      <c r="W223" s="265">
        <v>1000</v>
      </c>
      <c r="X223" s="265"/>
      <c r="Y223" s="263"/>
      <c r="Z223" s="263"/>
      <c r="AA223" s="263"/>
      <c r="AB223" s="263"/>
      <c r="AC223" s="263"/>
      <c r="AD223" s="263"/>
      <c r="AE223" s="263" t="s">
        <v>675</v>
      </c>
      <c r="AF223" s="263" t="s">
        <v>35</v>
      </c>
      <c r="AG223" s="263" t="s">
        <v>864</v>
      </c>
      <c r="AH223" s="263"/>
      <c r="AI223" s="75"/>
      <c r="AJ223" s="75"/>
      <c r="AK223" s="75"/>
      <c r="AL223" s="75"/>
    </row>
    <row r="224" spans="1:38" s="238" customFormat="1">
      <c r="A224" s="275">
        <v>1403</v>
      </c>
      <c r="B224" s="263" t="s">
        <v>952</v>
      </c>
      <c r="C224" s="263" t="s">
        <v>200</v>
      </c>
      <c r="D224" s="263" t="s">
        <v>200</v>
      </c>
      <c r="E224" s="263" t="s">
        <v>200</v>
      </c>
      <c r="F224" s="263" t="s">
        <v>200</v>
      </c>
      <c r="G224" s="291" t="s">
        <v>834</v>
      </c>
      <c r="H224" s="263" t="s">
        <v>200</v>
      </c>
      <c r="I224" s="263" t="s">
        <v>801</v>
      </c>
      <c r="J224" s="263" t="s">
        <v>200</v>
      </c>
      <c r="K224" s="263" t="s">
        <v>955</v>
      </c>
      <c r="L224" s="263" t="s">
        <v>958</v>
      </c>
      <c r="M224" s="263" t="s">
        <v>959</v>
      </c>
      <c r="N224" s="263"/>
      <c r="O224" s="263"/>
      <c r="P224" s="263"/>
      <c r="Q224" s="263"/>
      <c r="R224" s="263"/>
      <c r="S224" s="263"/>
      <c r="T224" s="263"/>
      <c r="U224" s="263" t="s">
        <v>200</v>
      </c>
      <c r="V224" s="263" t="s">
        <v>200</v>
      </c>
      <c r="W224" s="265">
        <v>1000</v>
      </c>
      <c r="X224" s="265"/>
      <c r="Y224" s="263"/>
      <c r="Z224" s="263"/>
      <c r="AA224" s="263"/>
      <c r="AB224" s="263"/>
      <c r="AC224" s="263"/>
      <c r="AD224" s="263"/>
      <c r="AE224" s="263" t="s">
        <v>675</v>
      </c>
      <c r="AF224" s="263" t="s">
        <v>35</v>
      </c>
      <c r="AG224" s="263" t="s">
        <v>864</v>
      </c>
      <c r="AH224" s="263"/>
      <c r="AI224" s="75"/>
      <c r="AJ224" s="75"/>
      <c r="AK224" s="75"/>
      <c r="AL224" s="75"/>
    </row>
    <row r="225" spans="1:38" s="238" customFormat="1">
      <c r="A225" s="275">
        <v>1404</v>
      </c>
      <c r="B225" s="263" t="s">
        <v>952</v>
      </c>
      <c r="C225" s="263" t="s">
        <v>200</v>
      </c>
      <c r="D225" s="263" t="s">
        <v>200</v>
      </c>
      <c r="E225" s="263" t="s">
        <v>200</v>
      </c>
      <c r="F225" s="263" t="s">
        <v>200</v>
      </c>
      <c r="G225" s="291" t="s">
        <v>834</v>
      </c>
      <c r="H225" s="263" t="s">
        <v>200</v>
      </c>
      <c r="I225" s="263" t="s">
        <v>801</v>
      </c>
      <c r="J225" s="263" t="s">
        <v>200</v>
      </c>
      <c r="K225" s="263" t="s">
        <v>955</v>
      </c>
      <c r="L225" s="263" t="s">
        <v>956</v>
      </c>
      <c r="M225" s="263" t="s">
        <v>960</v>
      </c>
      <c r="N225" s="263"/>
      <c r="O225" s="263"/>
      <c r="P225" s="263"/>
      <c r="Q225" s="263"/>
      <c r="R225" s="263"/>
      <c r="S225" s="263"/>
      <c r="T225" s="263"/>
      <c r="U225" s="263" t="s">
        <v>200</v>
      </c>
      <c r="V225" s="263" t="s">
        <v>200</v>
      </c>
      <c r="W225" s="265">
        <v>1000</v>
      </c>
      <c r="X225" s="265"/>
      <c r="Y225" s="263"/>
      <c r="Z225" s="263"/>
      <c r="AA225" s="263"/>
      <c r="AB225" s="263"/>
      <c r="AC225" s="263"/>
      <c r="AD225" s="263"/>
      <c r="AE225" s="263" t="s">
        <v>675</v>
      </c>
      <c r="AF225" s="263" t="s">
        <v>35</v>
      </c>
      <c r="AG225" s="263" t="s">
        <v>864</v>
      </c>
      <c r="AH225" s="263"/>
      <c r="AI225" s="75"/>
      <c r="AJ225" s="75"/>
      <c r="AK225" s="75"/>
      <c r="AL225" s="75"/>
    </row>
    <row r="226" spans="1:38" s="238" customFormat="1">
      <c r="A226" s="275">
        <v>1405</v>
      </c>
      <c r="B226" s="263" t="s">
        <v>952</v>
      </c>
      <c r="C226" s="263" t="s">
        <v>200</v>
      </c>
      <c r="D226" s="263" t="s">
        <v>200</v>
      </c>
      <c r="E226" s="263" t="s">
        <v>200</v>
      </c>
      <c r="F226" s="263" t="s">
        <v>200</v>
      </c>
      <c r="G226" s="291" t="s">
        <v>834</v>
      </c>
      <c r="H226" s="263" t="s">
        <v>200</v>
      </c>
      <c r="I226" s="263" t="s">
        <v>801</v>
      </c>
      <c r="J226" s="263" t="s">
        <v>200</v>
      </c>
      <c r="K226" s="263" t="s">
        <v>961</v>
      </c>
      <c r="L226" s="263" t="s">
        <v>962</v>
      </c>
      <c r="M226" s="263" t="s">
        <v>963</v>
      </c>
      <c r="N226" s="263"/>
      <c r="O226" s="263"/>
      <c r="P226" s="263"/>
      <c r="Q226" s="263"/>
      <c r="R226" s="263"/>
      <c r="S226" s="263"/>
      <c r="T226" s="263"/>
      <c r="U226" s="263" t="s">
        <v>200</v>
      </c>
      <c r="V226" s="263" t="s">
        <v>200</v>
      </c>
      <c r="W226" s="265">
        <v>1000</v>
      </c>
      <c r="X226" s="265"/>
      <c r="Y226" s="263"/>
      <c r="Z226" s="263"/>
      <c r="AA226" s="263"/>
      <c r="AB226" s="263"/>
      <c r="AC226" s="263"/>
      <c r="AD226" s="263"/>
      <c r="AE226" s="263" t="s">
        <v>675</v>
      </c>
      <c r="AF226" s="263" t="s">
        <v>35</v>
      </c>
      <c r="AG226" s="263" t="s">
        <v>964</v>
      </c>
      <c r="AH226" s="263"/>
      <c r="AI226" s="75"/>
      <c r="AJ226" s="75"/>
      <c r="AK226" s="75"/>
      <c r="AL226" s="75"/>
    </row>
    <row r="227" spans="1:38" s="238" customFormat="1">
      <c r="A227" s="275">
        <v>1406</v>
      </c>
      <c r="B227" s="263" t="s">
        <v>952</v>
      </c>
      <c r="C227" s="263" t="s">
        <v>200</v>
      </c>
      <c r="D227" s="263" t="s">
        <v>200</v>
      </c>
      <c r="E227" s="263" t="s">
        <v>200</v>
      </c>
      <c r="F227" s="263" t="s">
        <v>200</v>
      </c>
      <c r="G227" s="291" t="s">
        <v>834</v>
      </c>
      <c r="H227" s="263" t="s">
        <v>200</v>
      </c>
      <c r="I227" s="263" t="s">
        <v>801</v>
      </c>
      <c r="J227" s="263" t="s">
        <v>200</v>
      </c>
      <c r="K227" s="263" t="s">
        <v>955</v>
      </c>
      <c r="L227" s="263" t="s">
        <v>965</v>
      </c>
      <c r="M227" s="263"/>
      <c r="N227" s="263"/>
      <c r="O227" s="263"/>
      <c r="P227" s="263"/>
      <c r="Q227" s="263"/>
      <c r="R227" s="263"/>
      <c r="S227" s="263"/>
      <c r="T227" s="263"/>
      <c r="U227" s="263" t="s">
        <v>200</v>
      </c>
      <c r="V227" s="263" t="s">
        <v>200</v>
      </c>
      <c r="W227" s="265">
        <v>1000</v>
      </c>
      <c r="X227" s="265"/>
      <c r="Y227" s="263"/>
      <c r="Z227" s="263"/>
      <c r="AA227" s="263"/>
      <c r="AB227" s="263"/>
      <c r="AC227" s="263"/>
      <c r="AD227" s="263"/>
      <c r="AE227" s="263" t="s">
        <v>675</v>
      </c>
      <c r="AF227" s="263" t="s">
        <v>35</v>
      </c>
      <c r="AG227" s="263" t="s">
        <v>964</v>
      </c>
      <c r="AH227" s="263"/>
      <c r="AI227" s="75"/>
      <c r="AJ227" s="75"/>
      <c r="AK227" s="75"/>
      <c r="AL227" s="75"/>
    </row>
    <row r="228" spans="1:38" s="238" customFormat="1">
      <c r="A228" s="275">
        <v>1407</v>
      </c>
      <c r="B228" s="263" t="s">
        <v>952</v>
      </c>
      <c r="C228" s="263" t="s">
        <v>200</v>
      </c>
      <c r="D228" s="263" t="s">
        <v>200</v>
      </c>
      <c r="E228" s="263" t="s">
        <v>200</v>
      </c>
      <c r="F228" s="263" t="s">
        <v>200</v>
      </c>
      <c r="G228" s="291" t="s">
        <v>834</v>
      </c>
      <c r="H228" s="263" t="s">
        <v>200</v>
      </c>
      <c r="I228" s="263" t="s">
        <v>801</v>
      </c>
      <c r="J228" s="263" t="s">
        <v>200</v>
      </c>
      <c r="K228" s="263" t="s">
        <v>966</v>
      </c>
      <c r="L228" s="263" t="s">
        <v>967</v>
      </c>
      <c r="M228" s="263" t="s">
        <v>968</v>
      </c>
      <c r="N228" s="263"/>
      <c r="O228" s="263"/>
      <c r="P228" s="263"/>
      <c r="Q228" s="263"/>
      <c r="R228" s="263"/>
      <c r="S228" s="263"/>
      <c r="T228" s="263"/>
      <c r="U228" s="263" t="s">
        <v>200</v>
      </c>
      <c r="V228" s="263" t="s">
        <v>200</v>
      </c>
      <c r="W228" s="265">
        <v>1000</v>
      </c>
      <c r="X228" s="265"/>
      <c r="Y228" s="263"/>
      <c r="Z228" s="263"/>
      <c r="AA228" s="263"/>
      <c r="AB228" s="263"/>
      <c r="AC228" s="263"/>
      <c r="AD228" s="263"/>
      <c r="AE228" s="263" t="s">
        <v>675</v>
      </c>
      <c r="AF228" s="263" t="s">
        <v>35</v>
      </c>
      <c r="AG228" s="263" t="s">
        <v>964</v>
      </c>
      <c r="AH228" s="263"/>
      <c r="AI228" s="75"/>
      <c r="AJ228" s="75"/>
      <c r="AK228" s="75"/>
      <c r="AL228" s="75"/>
    </row>
    <row r="229" spans="1:38" s="252" customFormat="1">
      <c r="A229" s="275">
        <v>1408</v>
      </c>
      <c r="B229" s="263" t="s">
        <v>952</v>
      </c>
      <c r="C229" s="263" t="s">
        <v>200</v>
      </c>
      <c r="D229" s="263" t="s">
        <v>200</v>
      </c>
      <c r="E229" s="263" t="s">
        <v>200</v>
      </c>
      <c r="F229" s="263" t="s">
        <v>200</v>
      </c>
      <c r="G229" s="291" t="s">
        <v>834</v>
      </c>
      <c r="H229" s="263" t="s">
        <v>200</v>
      </c>
      <c r="I229" s="263" t="s">
        <v>801</v>
      </c>
      <c r="J229" s="263" t="s">
        <v>200</v>
      </c>
      <c r="K229" s="263" t="s">
        <v>969</v>
      </c>
      <c r="L229" s="263" t="s">
        <v>970</v>
      </c>
      <c r="M229" s="263"/>
      <c r="N229" s="263"/>
      <c r="O229" s="263"/>
      <c r="P229" s="263"/>
      <c r="Q229" s="263"/>
      <c r="R229" s="263"/>
      <c r="S229" s="263"/>
      <c r="T229" s="263"/>
      <c r="U229" s="263" t="s">
        <v>200</v>
      </c>
      <c r="V229" s="263" t="s">
        <v>200</v>
      </c>
      <c r="W229" s="265">
        <v>1000</v>
      </c>
      <c r="X229" s="265"/>
      <c r="Y229" s="263"/>
      <c r="Z229" s="263"/>
      <c r="AA229" s="263"/>
      <c r="AB229" s="263"/>
      <c r="AC229" s="263"/>
      <c r="AD229" s="263"/>
      <c r="AE229" s="263" t="s">
        <v>675</v>
      </c>
      <c r="AF229" s="263" t="s">
        <v>35</v>
      </c>
      <c r="AG229" s="263" t="s">
        <v>964</v>
      </c>
      <c r="AH229" s="263"/>
      <c r="AI229" s="19"/>
      <c r="AJ229" s="19"/>
      <c r="AK229" s="19"/>
      <c r="AL229" s="19"/>
    </row>
    <row r="230" spans="1:38" s="252" customFormat="1">
      <c r="A230" s="275">
        <v>1409</v>
      </c>
      <c r="B230" s="263" t="s">
        <v>952</v>
      </c>
      <c r="C230" s="263" t="s">
        <v>200</v>
      </c>
      <c r="D230" s="263" t="s">
        <v>200</v>
      </c>
      <c r="E230" s="263" t="s">
        <v>200</v>
      </c>
      <c r="F230" s="263" t="s">
        <v>200</v>
      </c>
      <c r="G230" s="291" t="s">
        <v>834</v>
      </c>
      <c r="H230" s="263" t="s">
        <v>200</v>
      </c>
      <c r="I230" s="263" t="s">
        <v>801</v>
      </c>
      <c r="J230" s="263" t="s">
        <v>200</v>
      </c>
      <c r="K230" s="263" t="s">
        <v>971</v>
      </c>
      <c r="L230" s="263" t="s">
        <v>972</v>
      </c>
      <c r="M230" s="263">
        <v>36204363</v>
      </c>
      <c r="N230" s="263"/>
      <c r="O230" s="263"/>
      <c r="P230" s="263"/>
      <c r="Q230" s="263"/>
      <c r="R230" s="263"/>
      <c r="S230" s="263"/>
      <c r="T230" s="263"/>
      <c r="U230" s="263" t="s">
        <v>200</v>
      </c>
      <c r="V230" s="263" t="s">
        <v>200</v>
      </c>
      <c r="W230" s="265">
        <v>1000</v>
      </c>
      <c r="X230" s="265"/>
      <c r="Y230" s="263"/>
      <c r="Z230" s="263"/>
      <c r="AA230" s="263"/>
      <c r="AB230" s="263"/>
      <c r="AC230" s="263"/>
      <c r="AD230" s="263"/>
      <c r="AE230" s="263" t="s">
        <v>675</v>
      </c>
      <c r="AF230" s="263" t="s">
        <v>35</v>
      </c>
      <c r="AG230" s="263" t="s">
        <v>964</v>
      </c>
      <c r="AH230" s="263"/>
      <c r="AI230" s="19"/>
      <c r="AJ230" s="19"/>
      <c r="AK230" s="19"/>
      <c r="AL230" s="19"/>
    </row>
    <row r="231" spans="1:38" s="252" customFormat="1">
      <c r="A231" s="275">
        <v>1502</v>
      </c>
      <c r="B231" s="263" t="s">
        <v>349</v>
      </c>
      <c r="C231" s="263" t="s">
        <v>200</v>
      </c>
      <c r="D231" s="263" t="s">
        <v>200</v>
      </c>
      <c r="E231" s="260" t="s">
        <v>200</v>
      </c>
      <c r="F231" s="263" t="s">
        <v>200</v>
      </c>
      <c r="G231" s="252" t="s">
        <v>834</v>
      </c>
      <c r="H231" s="263" t="s">
        <v>200</v>
      </c>
      <c r="I231" s="263" t="s">
        <v>801</v>
      </c>
      <c r="J231" s="263">
        <v>1</v>
      </c>
      <c r="K231" s="263" t="s">
        <v>44</v>
      </c>
      <c r="L231" s="263" t="s">
        <v>200</v>
      </c>
      <c r="M231" s="263" t="s">
        <v>883</v>
      </c>
      <c r="N231" s="263"/>
      <c r="O231" s="263"/>
      <c r="P231" s="263"/>
      <c r="Q231" s="263"/>
      <c r="R231" s="263"/>
      <c r="S231" s="263"/>
      <c r="T231" s="263"/>
      <c r="U231" s="263"/>
      <c r="V231" s="263" t="s">
        <v>200</v>
      </c>
      <c r="W231" s="265">
        <v>34990</v>
      </c>
      <c r="X231" s="265">
        <v>34990</v>
      </c>
      <c r="Y231" s="265">
        <v>699.8</v>
      </c>
      <c r="Z231" s="263"/>
      <c r="AA231" s="263"/>
      <c r="AB231" s="263"/>
      <c r="AC231" s="263"/>
      <c r="AD231" s="263"/>
      <c r="AE231" s="263">
        <v>191125</v>
      </c>
      <c r="AF231" s="263" t="s">
        <v>35</v>
      </c>
      <c r="AG231" s="263" t="s">
        <v>884</v>
      </c>
      <c r="AH231" s="263"/>
      <c r="AI231" s="19"/>
      <c r="AJ231" s="19"/>
      <c r="AK231" s="19"/>
      <c r="AL231" s="19"/>
    </row>
    <row r="232" spans="1:38" s="252" customFormat="1">
      <c r="A232" s="275">
        <v>1501</v>
      </c>
      <c r="B232" s="263" t="s">
        <v>349</v>
      </c>
      <c r="C232" s="263" t="s">
        <v>200</v>
      </c>
      <c r="D232" s="263" t="s">
        <v>200</v>
      </c>
      <c r="E232" s="260" t="s">
        <v>200</v>
      </c>
      <c r="F232" s="263" t="s">
        <v>200</v>
      </c>
      <c r="G232" s="252" t="s">
        <v>834</v>
      </c>
      <c r="H232" s="263" t="s">
        <v>200</v>
      </c>
      <c r="I232" s="263" t="s">
        <v>801</v>
      </c>
      <c r="J232" s="263">
        <v>1</v>
      </c>
      <c r="K232" s="263" t="s">
        <v>44</v>
      </c>
      <c r="L232" s="263" t="s">
        <v>200</v>
      </c>
      <c r="M232" s="263" t="s">
        <v>885</v>
      </c>
      <c r="N232" s="263"/>
      <c r="O232" s="263"/>
      <c r="P232" s="263"/>
      <c r="Q232" s="263"/>
      <c r="R232" s="263"/>
      <c r="S232" s="263"/>
      <c r="T232" s="263"/>
      <c r="U232" s="263"/>
      <c r="V232" s="263" t="s">
        <v>200</v>
      </c>
      <c r="W232" s="265">
        <v>4500</v>
      </c>
      <c r="X232" s="265">
        <v>4500</v>
      </c>
      <c r="Y232" s="265">
        <v>90</v>
      </c>
      <c r="Z232" s="263"/>
      <c r="AA232" s="263"/>
      <c r="AB232" s="263"/>
      <c r="AC232" s="263"/>
      <c r="AD232" s="263"/>
      <c r="AE232" s="263">
        <v>220107</v>
      </c>
      <c r="AF232" s="263" t="s">
        <v>35</v>
      </c>
      <c r="AG232" s="263" t="s">
        <v>815</v>
      </c>
      <c r="AH232" s="263"/>
      <c r="AI232" s="19"/>
      <c r="AJ232" s="19"/>
      <c r="AK232" s="19"/>
      <c r="AL232" s="19"/>
    </row>
    <row r="233" spans="1:38" s="252" customFormat="1" ht="12.75" customHeight="1">
      <c r="A233" s="275">
        <v>1500</v>
      </c>
      <c r="B233" s="263" t="s">
        <v>349</v>
      </c>
      <c r="C233" s="263" t="s">
        <v>200</v>
      </c>
      <c r="D233" s="263" t="s">
        <v>200</v>
      </c>
      <c r="E233" s="260" t="s">
        <v>200</v>
      </c>
      <c r="F233" s="263" t="s">
        <v>200</v>
      </c>
      <c r="G233" s="252" t="s">
        <v>834</v>
      </c>
      <c r="H233" s="263" t="s">
        <v>200</v>
      </c>
      <c r="I233" s="263" t="s">
        <v>801</v>
      </c>
      <c r="J233" s="263">
        <v>1</v>
      </c>
      <c r="K233" s="263" t="s">
        <v>44</v>
      </c>
      <c r="L233" s="263" t="s">
        <v>200</v>
      </c>
      <c r="M233" s="263" t="s">
        <v>887</v>
      </c>
      <c r="N233" s="263"/>
      <c r="O233" s="263"/>
      <c r="P233" s="263"/>
      <c r="Q233" s="263"/>
      <c r="R233" s="263"/>
      <c r="S233" s="263"/>
      <c r="T233" s="263"/>
      <c r="U233" s="263"/>
      <c r="V233" s="263" t="s">
        <v>200</v>
      </c>
      <c r="W233" s="265">
        <v>10000</v>
      </c>
      <c r="X233" s="265">
        <v>10000</v>
      </c>
      <c r="Y233" s="265">
        <v>200</v>
      </c>
      <c r="Z233" s="263"/>
      <c r="AA233" s="263"/>
      <c r="AB233" s="265"/>
      <c r="AC233" s="263"/>
      <c r="AD233" s="263"/>
      <c r="AE233" s="263">
        <v>220916</v>
      </c>
      <c r="AF233" s="263" t="s">
        <v>35</v>
      </c>
      <c r="AG233" s="263" t="s">
        <v>830</v>
      </c>
      <c r="AH233" s="263"/>
      <c r="AI233" s="19"/>
      <c r="AJ233" s="19"/>
      <c r="AK233" s="19"/>
      <c r="AL233" s="19"/>
    </row>
    <row r="234" spans="1:38" s="252" customFormat="1">
      <c r="A234" s="275">
        <v>1503</v>
      </c>
      <c r="B234" s="263" t="s">
        <v>349</v>
      </c>
      <c r="C234" s="263" t="s">
        <v>200</v>
      </c>
      <c r="D234" s="263" t="s">
        <v>200</v>
      </c>
      <c r="E234" s="260" t="s">
        <v>200</v>
      </c>
      <c r="F234" s="263" t="s">
        <v>200</v>
      </c>
      <c r="G234" s="252" t="s">
        <v>834</v>
      </c>
      <c r="H234" s="263" t="s">
        <v>200</v>
      </c>
      <c r="I234" s="263" t="s">
        <v>801</v>
      </c>
      <c r="J234" s="263">
        <v>1</v>
      </c>
      <c r="K234" s="263" t="s">
        <v>888</v>
      </c>
      <c r="L234" s="263" t="s">
        <v>200</v>
      </c>
      <c r="M234" s="263" t="s">
        <v>889</v>
      </c>
      <c r="N234" s="263"/>
      <c r="O234" s="263"/>
      <c r="P234" s="263"/>
      <c r="Q234" s="263"/>
      <c r="R234" s="263"/>
      <c r="S234" s="263"/>
      <c r="T234" s="263"/>
      <c r="U234" s="263"/>
      <c r="V234" s="263" t="s">
        <v>200</v>
      </c>
      <c r="W234" s="265">
        <v>8000</v>
      </c>
      <c r="X234" s="276">
        <v>8000</v>
      </c>
      <c r="Y234" s="265">
        <v>160</v>
      </c>
      <c r="Z234" s="263"/>
      <c r="AA234" s="263"/>
      <c r="AB234" s="263"/>
      <c r="AC234" s="263"/>
      <c r="AD234" s="263"/>
      <c r="AE234" s="263" t="s">
        <v>675</v>
      </c>
      <c r="AF234" s="263" t="s">
        <v>35</v>
      </c>
      <c r="AG234" s="263" t="s">
        <v>864</v>
      </c>
      <c r="AH234" s="263"/>
      <c r="AI234" s="19"/>
      <c r="AJ234" s="19"/>
      <c r="AK234" s="19"/>
      <c r="AL234" s="19"/>
    </row>
    <row r="235" spans="1:38" s="252" customFormat="1">
      <c r="A235" s="275">
        <v>1504</v>
      </c>
      <c r="B235" s="263" t="s">
        <v>349</v>
      </c>
      <c r="C235" s="263" t="s">
        <v>200</v>
      </c>
      <c r="D235" s="263" t="s">
        <v>200</v>
      </c>
      <c r="E235" s="260" t="s">
        <v>200</v>
      </c>
      <c r="F235" s="263" t="s">
        <v>200</v>
      </c>
      <c r="G235" s="252" t="s">
        <v>834</v>
      </c>
      <c r="H235" s="263" t="s">
        <v>200</v>
      </c>
      <c r="I235" s="263" t="s">
        <v>801</v>
      </c>
      <c r="J235" s="263">
        <v>1</v>
      </c>
      <c r="K235" s="263" t="s">
        <v>890</v>
      </c>
      <c r="L235" s="263" t="s">
        <v>200</v>
      </c>
      <c r="M235" s="263" t="s">
        <v>891</v>
      </c>
      <c r="N235" s="263"/>
      <c r="O235" s="263"/>
      <c r="P235" s="263"/>
      <c r="Q235" s="263"/>
      <c r="R235" s="263"/>
      <c r="S235" s="263"/>
      <c r="T235" s="263"/>
      <c r="U235" s="263"/>
      <c r="V235" s="263" t="s">
        <v>200</v>
      </c>
      <c r="W235" s="265">
        <v>3974</v>
      </c>
      <c r="X235" s="265">
        <v>3974</v>
      </c>
      <c r="Y235" s="265">
        <v>79.48</v>
      </c>
      <c r="Z235" s="263"/>
      <c r="AA235" s="263"/>
      <c r="AB235" s="263"/>
      <c r="AC235" s="263"/>
      <c r="AD235" s="263"/>
      <c r="AE235" s="263" t="s">
        <v>675</v>
      </c>
      <c r="AF235" s="263" t="s">
        <v>35</v>
      </c>
      <c r="AG235" s="263" t="s">
        <v>864</v>
      </c>
      <c r="AH235" s="263"/>
      <c r="AI235" s="19"/>
      <c r="AJ235" s="19"/>
      <c r="AK235" s="19"/>
      <c r="AL235" s="19"/>
    </row>
    <row r="236" spans="1:38" s="252" customFormat="1">
      <c r="A236" s="275">
        <v>1505</v>
      </c>
      <c r="B236" s="263" t="s">
        <v>349</v>
      </c>
      <c r="C236" s="263" t="s">
        <v>200</v>
      </c>
      <c r="D236" s="263" t="s">
        <v>200</v>
      </c>
      <c r="E236" s="260" t="s">
        <v>200</v>
      </c>
      <c r="F236" s="263" t="s">
        <v>200</v>
      </c>
      <c r="G236" s="252" t="s">
        <v>834</v>
      </c>
      <c r="H236" s="263" t="s">
        <v>200</v>
      </c>
      <c r="I236" s="263" t="s">
        <v>801</v>
      </c>
      <c r="J236" s="263">
        <v>1</v>
      </c>
      <c r="K236" s="263" t="s">
        <v>44</v>
      </c>
      <c r="L236" s="263" t="s">
        <v>200</v>
      </c>
      <c r="M236" s="263" t="s">
        <v>892</v>
      </c>
      <c r="N236" s="275">
        <v>2.5669143250886899E+17</v>
      </c>
      <c r="O236" s="263"/>
      <c r="P236" s="263"/>
      <c r="Q236" s="263"/>
      <c r="R236" s="263"/>
      <c r="S236" s="263"/>
      <c r="T236" s="263"/>
      <c r="U236" s="263"/>
      <c r="V236" s="263" t="s">
        <v>200</v>
      </c>
      <c r="W236" s="265">
        <v>10000</v>
      </c>
      <c r="X236" s="265">
        <v>10000</v>
      </c>
      <c r="Y236" s="265">
        <v>200</v>
      </c>
      <c r="Z236" s="263"/>
      <c r="AA236" s="263"/>
      <c r="AB236" s="263"/>
      <c r="AC236" s="263"/>
      <c r="AD236" s="263"/>
      <c r="AE236" s="263" t="s">
        <v>675</v>
      </c>
      <c r="AF236" s="263" t="s">
        <v>35</v>
      </c>
      <c r="AG236" s="263" t="s">
        <v>864</v>
      </c>
      <c r="AH236" s="263"/>
      <c r="AI236" s="19"/>
      <c r="AJ236" s="19"/>
      <c r="AK236" s="19"/>
      <c r="AL236" s="19"/>
    </row>
    <row r="237" spans="1:38" s="252" customFormat="1" ht="12.75">
      <c r="A237" s="251">
        <v>300</v>
      </c>
      <c r="B237" s="252" t="s">
        <v>296</v>
      </c>
      <c r="C237" s="252" t="s">
        <v>200</v>
      </c>
      <c r="D237" s="252" t="s">
        <v>200</v>
      </c>
      <c r="E237" s="252" t="s">
        <v>200</v>
      </c>
      <c r="F237" s="252" t="s">
        <v>200</v>
      </c>
      <c r="G237" s="252" t="s">
        <v>834</v>
      </c>
      <c r="H237" s="252" t="s">
        <v>200</v>
      </c>
      <c r="I237" s="252" t="s">
        <v>801</v>
      </c>
      <c r="J237" s="252">
        <v>1</v>
      </c>
      <c r="K237" s="252" t="s">
        <v>151</v>
      </c>
      <c r="L237" s="252" t="s">
        <v>200</v>
      </c>
      <c r="M237" s="252" t="s">
        <v>297</v>
      </c>
      <c r="N237" s="252" t="s">
        <v>298</v>
      </c>
      <c r="P237" s="252" t="s">
        <v>299</v>
      </c>
      <c r="Q237" s="252" t="s">
        <v>300</v>
      </c>
      <c r="R237" s="252" t="s">
        <v>301</v>
      </c>
      <c r="S237" s="252" t="s">
        <v>236</v>
      </c>
      <c r="T237" s="252" t="s">
        <v>302</v>
      </c>
      <c r="U237" s="252" t="s">
        <v>303</v>
      </c>
      <c r="V237" s="237" t="s">
        <v>200</v>
      </c>
      <c r="W237" s="253"/>
      <c r="X237" s="253"/>
      <c r="Y237" s="253"/>
      <c r="AE237" s="252">
        <v>220902</v>
      </c>
      <c r="AF237" s="248" t="s">
        <v>360</v>
      </c>
      <c r="AG237" s="252" t="s">
        <v>802</v>
      </c>
      <c r="AI237" s="19"/>
      <c r="AJ237" s="19"/>
      <c r="AK237" s="19"/>
      <c r="AL237" s="19"/>
    </row>
    <row r="238" spans="1:38" s="252" customFormat="1" ht="12.75">
      <c r="A238" s="251">
        <v>307</v>
      </c>
      <c r="B238" s="248" t="s">
        <v>296</v>
      </c>
      <c r="C238" s="252" t="s">
        <v>200</v>
      </c>
      <c r="D238" s="252" t="s">
        <v>200</v>
      </c>
      <c r="E238" s="252" t="s">
        <v>200</v>
      </c>
      <c r="F238" s="252" t="s">
        <v>200</v>
      </c>
      <c r="G238" s="252" t="s">
        <v>834</v>
      </c>
      <c r="H238" s="252" t="s">
        <v>200</v>
      </c>
      <c r="I238" s="252" t="s">
        <v>801</v>
      </c>
      <c r="J238" s="252">
        <v>1</v>
      </c>
      <c r="K238" s="248" t="s">
        <v>63</v>
      </c>
      <c r="L238" s="252" t="s">
        <v>200</v>
      </c>
      <c r="M238" s="248" t="s">
        <v>803</v>
      </c>
      <c r="N238" s="248"/>
      <c r="O238" s="248"/>
      <c r="P238" s="248" t="s">
        <v>804</v>
      </c>
      <c r="Q238" s="248" t="s">
        <v>805</v>
      </c>
      <c r="R238" s="248" t="s">
        <v>806</v>
      </c>
      <c r="S238" s="248" t="s">
        <v>117</v>
      </c>
      <c r="T238" s="248" t="s">
        <v>714</v>
      </c>
      <c r="U238" s="248" t="s">
        <v>295</v>
      </c>
      <c r="V238" s="237" t="s">
        <v>200</v>
      </c>
      <c r="W238" s="254">
        <v>7000</v>
      </c>
      <c r="X238" s="253">
        <v>7000</v>
      </c>
      <c r="Y238" s="253">
        <v>140</v>
      </c>
      <c r="Z238" s="248"/>
      <c r="AA238" s="255"/>
      <c r="AB238" s="248"/>
      <c r="AE238" s="252">
        <v>221010</v>
      </c>
      <c r="AF238" s="248" t="s">
        <v>35</v>
      </c>
      <c r="AG238" s="252" t="s">
        <v>807</v>
      </c>
      <c r="AI238" s="19"/>
      <c r="AJ238" s="19"/>
      <c r="AK238" s="19"/>
      <c r="AL238" s="19"/>
    </row>
    <row r="239" spans="1:38" s="238" customFormat="1" ht="13.5" customHeight="1">
      <c r="A239" s="251">
        <v>305</v>
      </c>
      <c r="B239" s="248" t="s">
        <v>296</v>
      </c>
      <c r="C239" s="252" t="s">
        <v>200</v>
      </c>
      <c r="D239" s="252" t="s">
        <v>200</v>
      </c>
      <c r="E239" s="252" t="s">
        <v>200</v>
      </c>
      <c r="F239" s="252" t="s">
        <v>200</v>
      </c>
      <c r="G239" s="252" t="s">
        <v>834</v>
      </c>
      <c r="H239" s="252" t="s">
        <v>200</v>
      </c>
      <c r="I239" s="252" t="s">
        <v>801</v>
      </c>
      <c r="J239" s="252">
        <v>1</v>
      </c>
      <c r="K239" s="248" t="s">
        <v>808</v>
      </c>
      <c r="L239" s="252" t="s">
        <v>200</v>
      </c>
      <c r="M239" s="248" t="s">
        <v>809</v>
      </c>
      <c r="N239" s="248"/>
      <c r="O239" s="248"/>
      <c r="P239" s="248" t="s">
        <v>810</v>
      </c>
      <c r="Q239" s="248" t="s">
        <v>811</v>
      </c>
      <c r="R239" s="248" t="s">
        <v>806</v>
      </c>
      <c r="S239" s="248" t="s">
        <v>294</v>
      </c>
      <c r="T239" s="248" t="s">
        <v>714</v>
      </c>
      <c r="U239" s="248" t="s">
        <v>812</v>
      </c>
      <c r="V239" s="237" t="s">
        <v>200</v>
      </c>
      <c r="W239" s="254">
        <v>17000</v>
      </c>
      <c r="X239" s="253">
        <v>17000</v>
      </c>
      <c r="Y239" s="253">
        <v>340</v>
      </c>
      <c r="Z239" s="248"/>
      <c r="AA239" s="255"/>
      <c r="AB239" s="248"/>
      <c r="AC239" s="252"/>
      <c r="AD239" s="252"/>
      <c r="AE239" s="248">
        <v>190204</v>
      </c>
      <c r="AF239" s="248" t="s">
        <v>35</v>
      </c>
      <c r="AG239" s="252" t="s">
        <v>813</v>
      </c>
      <c r="AH239" s="252"/>
      <c r="AI239" s="75"/>
      <c r="AJ239" s="75"/>
      <c r="AK239" s="75"/>
      <c r="AL239" s="75"/>
    </row>
    <row r="240" spans="1:38" s="238" customFormat="1">
      <c r="A240" s="251">
        <v>301</v>
      </c>
      <c r="B240" s="248" t="s">
        <v>296</v>
      </c>
      <c r="C240" s="252" t="s">
        <v>200</v>
      </c>
      <c r="D240" s="252" t="s">
        <v>200</v>
      </c>
      <c r="E240" s="252" t="s">
        <v>200</v>
      </c>
      <c r="F240" s="252" t="s">
        <v>200</v>
      </c>
      <c r="G240" s="252" t="s">
        <v>834</v>
      </c>
      <c r="H240" s="252" t="s">
        <v>200</v>
      </c>
      <c r="I240" s="252" t="s">
        <v>801</v>
      </c>
      <c r="J240" s="252">
        <v>1</v>
      </c>
      <c r="K240" s="248" t="s">
        <v>151</v>
      </c>
      <c r="L240" s="252" t="s">
        <v>200</v>
      </c>
      <c r="M240" s="248" t="s">
        <v>814</v>
      </c>
      <c r="N240" s="248"/>
      <c r="O240" s="248"/>
      <c r="P240" s="248" t="s">
        <v>114</v>
      </c>
      <c r="Q240" s="248" t="s">
        <v>811</v>
      </c>
      <c r="R240" s="248" t="s">
        <v>806</v>
      </c>
      <c r="S240" s="248" t="s">
        <v>131</v>
      </c>
      <c r="T240" s="248" t="s">
        <v>302</v>
      </c>
      <c r="U240" s="248" t="s">
        <v>620</v>
      </c>
      <c r="V240" s="237" t="s">
        <v>200</v>
      </c>
      <c r="W240" s="254">
        <v>19000</v>
      </c>
      <c r="X240" s="253">
        <v>19000</v>
      </c>
      <c r="Y240" s="253">
        <v>380</v>
      </c>
      <c r="Z240" s="248"/>
      <c r="AA240" s="255"/>
      <c r="AB240" s="248"/>
      <c r="AC240" s="252"/>
      <c r="AD240" s="252"/>
      <c r="AE240" s="252">
        <v>220930</v>
      </c>
      <c r="AF240" s="248" t="s">
        <v>35</v>
      </c>
      <c r="AG240" s="252" t="s">
        <v>815</v>
      </c>
      <c r="AH240" s="252"/>
      <c r="AI240" s="75"/>
      <c r="AJ240" s="75"/>
      <c r="AK240" s="75"/>
      <c r="AL240" s="75"/>
    </row>
    <row r="241" spans="1:38" s="238" customFormat="1">
      <c r="A241" s="251">
        <v>304</v>
      </c>
      <c r="B241" s="248" t="s">
        <v>296</v>
      </c>
      <c r="C241" s="252" t="s">
        <v>200</v>
      </c>
      <c r="D241" s="252" t="s">
        <v>200</v>
      </c>
      <c r="E241" s="252" t="s">
        <v>200</v>
      </c>
      <c r="F241" s="252" t="s">
        <v>200</v>
      </c>
      <c r="G241" s="252" t="s">
        <v>834</v>
      </c>
      <c r="H241" s="252" t="s">
        <v>200</v>
      </c>
      <c r="I241" s="252" t="s">
        <v>801</v>
      </c>
      <c r="J241" s="252">
        <v>1</v>
      </c>
      <c r="K241" s="248" t="s">
        <v>151</v>
      </c>
      <c r="L241" s="252" t="s">
        <v>200</v>
      </c>
      <c r="M241" s="248" t="s">
        <v>816</v>
      </c>
      <c r="N241" s="248"/>
      <c r="O241" s="248"/>
      <c r="P241" s="248" t="s">
        <v>817</v>
      </c>
      <c r="Q241" s="248" t="s">
        <v>818</v>
      </c>
      <c r="R241" s="248" t="s">
        <v>819</v>
      </c>
      <c r="S241" s="248" t="s">
        <v>117</v>
      </c>
      <c r="T241" s="248" t="s">
        <v>714</v>
      </c>
      <c r="U241" s="248" t="s">
        <v>74</v>
      </c>
      <c r="V241" s="237" t="s">
        <v>200</v>
      </c>
      <c r="W241" s="254">
        <v>23000</v>
      </c>
      <c r="X241" s="253">
        <v>23000</v>
      </c>
      <c r="Y241" s="253">
        <v>460</v>
      </c>
      <c r="Z241" s="252"/>
      <c r="AA241" s="255"/>
      <c r="AB241" s="248"/>
      <c r="AC241" s="252"/>
      <c r="AD241" s="252"/>
      <c r="AE241" s="252">
        <v>221103</v>
      </c>
      <c r="AF241" s="248" t="s">
        <v>35</v>
      </c>
      <c r="AG241" s="252" t="s">
        <v>820</v>
      </c>
      <c r="AH241" s="252"/>
      <c r="AI241" s="75"/>
      <c r="AJ241" s="75"/>
      <c r="AK241" s="75"/>
      <c r="AL241" s="75"/>
    </row>
    <row r="242" spans="1:38" s="238" customFormat="1">
      <c r="A242" s="251">
        <v>303</v>
      </c>
      <c r="B242" s="248" t="s">
        <v>296</v>
      </c>
      <c r="C242" s="252" t="s">
        <v>200</v>
      </c>
      <c r="D242" s="252" t="s">
        <v>200</v>
      </c>
      <c r="E242" s="252" t="s">
        <v>200</v>
      </c>
      <c r="F242" s="252" t="s">
        <v>200</v>
      </c>
      <c r="G242" s="252" t="s">
        <v>834</v>
      </c>
      <c r="H242" s="252" t="s">
        <v>200</v>
      </c>
      <c r="I242" s="252" t="s">
        <v>801</v>
      </c>
      <c r="J242" s="252">
        <v>1</v>
      </c>
      <c r="K242" s="248" t="s">
        <v>151</v>
      </c>
      <c r="L242" s="252" t="s">
        <v>200</v>
      </c>
      <c r="M242" s="248" t="s">
        <v>816</v>
      </c>
      <c r="N242" s="248"/>
      <c r="O242" s="248"/>
      <c r="P242" s="248" t="s">
        <v>817</v>
      </c>
      <c r="Q242" s="248" t="s">
        <v>818</v>
      </c>
      <c r="R242" s="248" t="s">
        <v>819</v>
      </c>
      <c r="S242" s="248" t="s">
        <v>117</v>
      </c>
      <c r="T242" s="248" t="s">
        <v>714</v>
      </c>
      <c r="U242" s="248" t="s">
        <v>74</v>
      </c>
      <c r="V242" s="237" t="s">
        <v>200</v>
      </c>
      <c r="W242" s="254">
        <v>23000</v>
      </c>
      <c r="X242" s="253">
        <v>23000</v>
      </c>
      <c r="Y242" s="253">
        <v>460</v>
      </c>
      <c r="Z242" s="248"/>
      <c r="AA242" s="255"/>
      <c r="AB242" s="248"/>
      <c r="AC242" s="252"/>
      <c r="AD242" s="252"/>
      <c r="AE242" s="252">
        <v>221103</v>
      </c>
      <c r="AF242" s="248" t="s">
        <v>35</v>
      </c>
      <c r="AG242" s="252" t="s">
        <v>820</v>
      </c>
      <c r="AH242" s="252"/>
      <c r="AI242" s="75"/>
      <c r="AJ242" s="75"/>
      <c r="AK242" s="75"/>
      <c r="AL242" s="75"/>
    </row>
    <row r="243" spans="1:38" s="238" customFormat="1">
      <c r="A243" s="251">
        <v>306</v>
      </c>
      <c r="B243" s="248" t="s">
        <v>296</v>
      </c>
      <c r="C243" s="252" t="s">
        <v>200</v>
      </c>
      <c r="D243" s="252" t="s">
        <v>200</v>
      </c>
      <c r="E243" s="252" t="s">
        <v>200</v>
      </c>
      <c r="F243" s="252" t="s">
        <v>200</v>
      </c>
      <c r="G243" s="252" t="s">
        <v>834</v>
      </c>
      <c r="H243" s="252" t="s">
        <v>200</v>
      </c>
      <c r="I243" s="252" t="s">
        <v>801</v>
      </c>
      <c r="J243" s="252">
        <v>1</v>
      </c>
      <c r="K243" s="248" t="s">
        <v>151</v>
      </c>
      <c r="L243" s="252" t="s">
        <v>200</v>
      </c>
      <c r="M243" s="248" t="s">
        <v>821</v>
      </c>
      <c r="N243" s="248"/>
      <c r="O243" s="248"/>
      <c r="P243" s="248" t="s">
        <v>822</v>
      </c>
      <c r="Q243" s="248" t="s">
        <v>811</v>
      </c>
      <c r="R243" s="248" t="s">
        <v>806</v>
      </c>
      <c r="S243" s="248" t="s">
        <v>147</v>
      </c>
      <c r="T243" s="248" t="s">
        <v>118</v>
      </c>
      <c r="U243" s="248" t="s">
        <v>295</v>
      </c>
      <c r="V243" s="237" t="s">
        <v>200</v>
      </c>
      <c r="W243" s="254">
        <v>18000</v>
      </c>
      <c r="X243" s="253">
        <v>18000</v>
      </c>
      <c r="Y243" s="253">
        <v>360</v>
      </c>
      <c r="Z243" s="248"/>
      <c r="AA243" s="255"/>
      <c r="AB243" s="256"/>
      <c r="AC243" s="252"/>
      <c r="AD243" s="252"/>
      <c r="AE243" s="248">
        <v>211014</v>
      </c>
      <c r="AF243" s="248" t="s">
        <v>35</v>
      </c>
      <c r="AG243" s="252" t="s">
        <v>823</v>
      </c>
      <c r="AH243" s="252"/>
      <c r="AI243" s="75"/>
      <c r="AJ243" s="75"/>
      <c r="AK243" s="75"/>
      <c r="AL243" s="75"/>
    </row>
    <row r="244" spans="1:38" s="238" customFormat="1">
      <c r="A244" s="251">
        <v>308</v>
      </c>
      <c r="B244" s="248" t="s">
        <v>296</v>
      </c>
      <c r="C244" s="252" t="s">
        <v>200</v>
      </c>
      <c r="D244" s="252" t="s">
        <v>200</v>
      </c>
      <c r="E244" s="252" t="s">
        <v>200</v>
      </c>
      <c r="F244" s="252" t="s">
        <v>200</v>
      </c>
      <c r="G244" s="252" t="s">
        <v>834</v>
      </c>
      <c r="H244" s="252" t="s">
        <v>200</v>
      </c>
      <c r="I244" s="252" t="s">
        <v>801</v>
      </c>
      <c r="J244" s="252">
        <v>1</v>
      </c>
      <c r="K244" s="248" t="s">
        <v>824</v>
      </c>
      <c r="L244" s="252" t="s">
        <v>200</v>
      </c>
      <c r="M244" s="248" t="s">
        <v>825</v>
      </c>
      <c r="N244" s="248"/>
      <c r="O244" s="248"/>
      <c r="P244" s="248" t="s">
        <v>826</v>
      </c>
      <c r="Q244" s="248" t="s">
        <v>811</v>
      </c>
      <c r="R244" s="248" t="s">
        <v>806</v>
      </c>
      <c r="S244" s="248" t="s">
        <v>131</v>
      </c>
      <c r="T244" s="248" t="s">
        <v>714</v>
      </c>
      <c r="U244" s="248" t="s">
        <v>295</v>
      </c>
      <c r="V244" s="237" t="s">
        <v>200</v>
      </c>
      <c r="W244" s="254">
        <v>17000</v>
      </c>
      <c r="X244" s="253">
        <v>17000</v>
      </c>
      <c r="Y244" s="253">
        <v>340</v>
      </c>
      <c r="Z244" s="248"/>
      <c r="AA244" s="255"/>
      <c r="AB244" s="248"/>
      <c r="AC244" s="252"/>
      <c r="AD244" s="252"/>
      <c r="AE244" s="252">
        <v>220912</v>
      </c>
      <c r="AF244" s="248" t="s">
        <v>35</v>
      </c>
      <c r="AG244" s="252" t="s">
        <v>827</v>
      </c>
      <c r="AH244" s="252"/>
      <c r="AI244" s="75"/>
      <c r="AJ244" s="75"/>
      <c r="AK244" s="75"/>
      <c r="AL244" s="75"/>
    </row>
    <row r="245" spans="1:38" s="238" customFormat="1">
      <c r="A245" s="251">
        <v>312</v>
      </c>
      <c r="B245" s="248" t="s">
        <v>296</v>
      </c>
      <c r="C245" s="252" t="s">
        <v>200</v>
      </c>
      <c r="D245" s="252" t="s">
        <v>200</v>
      </c>
      <c r="E245" s="252" t="s">
        <v>200</v>
      </c>
      <c r="F245" s="252" t="s">
        <v>200</v>
      </c>
      <c r="G245" s="252" t="s">
        <v>834</v>
      </c>
      <c r="H245" s="252" t="s">
        <v>200</v>
      </c>
      <c r="I245" s="252" t="s">
        <v>801</v>
      </c>
      <c r="J245" s="252">
        <v>1</v>
      </c>
      <c r="K245" s="248" t="s">
        <v>151</v>
      </c>
      <c r="L245" s="252" t="s">
        <v>200</v>
      </c>
      <c r="M245" s="248" t="s">
        <v>828</v>
      </c>
      <c r="N245" s="248"/>
      <c r="O245" s="248"/>
      <c r="P245" s="248" t="s">
        <v>829</v>
      </c>
      <c r="Q245" s="248" t="s">
        <v>279</v>
      </c>
      <c r="R245" s="248" t="s">
        <v>806</v>
      </c>
      <c r="S245" s="248" t="s">
        <v>117</v>
      </c>
      <c r="T245" s="248" t="s">
        <v>118</v>
      </c>
      <c r="U245" s="248" t="s">
        <v>407</v>
      </c>
      <c r="V245" s="237" t="s">
        <v>200</v>
      </c>
      <c r="W245" s="254">
        <v>12000</v>
      </c>
      <c r="X245" s="253">
        <v>12000</v>
      </c>
      <c r="Y245" s="253">
        <v>240</v>
      </c>
      <c r="Z245" s="248"/>
      <c r="AA245" s="255"/>
      <c r="AB245" s="248"/>
      <c r="AC245" s="252"/>
      <c r="AD245" s="252"/>
      <c r="AE245" s="248">
        <v>221109</v>
      </c>
      <c r="AF245" s="248" t="s">
        <v>35</v>
      </c>
      <c r="AG245" s="252" t="s">
        <v>830</v>
      </c>
      <c r="AH245" s="252"/>
      <c r="AI245" s="75"/>
      <c r="AJ245" s="75"/>
      <c r="AK245" s="75"/>
      <c r="AL245" s="75"/>
    </row>
    <row r="246" spans="1:38" s="238" customFormat="1">
      <c r="A246" s="251">
        <v>316</v>
      </c>
      <c r="B246" s="248" t="s">
        <v>296</v>
      </c>
      <c r="C246" s="252" t="s">
        <v>200</v>
      </c>
      <c r="D246" s="252" t="s">
        <v>200</v>
      </c>
      <c r="E246" s="252" t="s">
        <v>200</v>
      </c>
      <c r="F246" s="252" t="s">
        <v>200</v>
      </c>
      <c r="G246" s="252" t="s">
        <v>834</v>
      </c>
      <c r="H246" s="252" t="s">
        <v>200</v>
      </c>
      <c r="I246" s="252" t="s">
        <v>801</v>
      </c>
      <c r="J246" s="252">
        <v>1</v>
      </c>
      <c r="K246" s="248" t="s">
        <v>63</v>
      </c>
      <c r="L246" s="252" t="s">
        <v>200</v>
      </c>
      <c r="M246" s="248" t="s">
        <v>831</v>
      </c>
      <c r="N246" s="248"/>
      <c r="O246" s="248"/>
      <c r="P246" s="248" t="s">
        <v>832</v>
      </c>
      <c r="Q246" s="248" t="s">
        <v>818</v>
      </c>
      <c r="R246" s="248" t="s">
        <v>806</v>
      </c>
      <c r="S246" s="248" t="s">
        <v>294</v>
      </c>
      <c r="T246" s="248" t="s">
        <v>118</v>
      </c>
      <c r="U246" s="248" t="s">
        <v>258</v>
      </c>
      <c r="V246" s="237" t="s">
        <v>200</v>
      </c>
      <c r="W246" s="257">
        <v>5000</v>
      </c>
      <c r="X246" s="253">
        <v>5000</v>
      </c>
      <c r="Y246" s="253">
        <v>100</v>
      </c>
      <c r="Z246" s="248"/>
      <c r="AA246" s="255"/>
      <c r="AB246" s="248"/>
      <c r="AC246" s="252"/>
      <c r="AD246" s="252"/>
      <c r="AE246" s="248">
        <v>191115</v>
      </c>
      <c r="AF246" s="248" t="s">
        <v>35</v>
      </c>
      <c r="AG246" s="252" t="s">
        <v>833</v>
      </c>
      <c r="AH246" s="252"/>
      <c r="AI246" s="75"/>
      <c r="AJ246" s="75"/>
      <c r="AK246" s="75"/>
      <c r="AL246" s="75"/>
    </row>
    <row r="247" spans="1:38" s="238" customFormat="1">
      <c r="A247" s="263">
        <v>2303</v>
      </c>
      <c r="B247" s="263" t="s">
        <v>973</v>
      </c>
      <c r="C247" s="263" t="s">
        <v>200</v>
      </c>
      <c r="D247" s="263" t="s">
        <v>200</v>
      </c>
      <c r="E247" s="263" t="s">
        <v>200</v>
      </c>
      <c r="F247" s="263" t="s">
        <v>200</v>
      </c>
      <c r="G247" s="263" t="s">
        <v>834</v>
      </c>
      <c r="H247" s="263" t="s">
        <v>200</v>
      </c>
      <c r="I247" s="263" t="s">
        <v>801</v>
      </c>
      <c r="J247" s="263" t="s">
        <v>200</v>
      </c>
      <c r="K247" s="263" t="s">
        <v>740</v>
      </c>
      <c r="L247" s="263" t="s">
        <v>974</v>
      </c>
      <c r="M247" s="263"/>
      <c r="N247" s="263"/>
      <c r="O247" s="263"/>
      <c r="P247" s="263"/>
      <c r="Q247" s="263"/>
      <c r="R247" s="263"/>
      <c r="S247" s="263"/>
      <c r="T247" s="263"/>
      <c r="U247" s="263" t="s">
        <v>200</v>
      </c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 t="s">
        <v>675</v>
      </c>
      <c r="AF247" s="248" t="s">
        <v>35</v>
      </c>
      <c r="AG247" s="263" t="s">
        <v>964</v>
      </c>
      <c r="AH247" s="263"/>
      <c r="AI247" s="75"/>
      <c r="AJ247" s="75"/>
      <c r="AK247" s="75"/>
      <c r="AL247" s="75"/>
    </row>
    <row r="248" spans="1:38" s="263" customFormat="1">
      <c r="A248" s="263">
        <v>2000</v>
      </c>
      <c r="B248" s="263" t="s">
        <v>975</v>
      </c>
      <c r="C248" s="263" t="s">
        <v>200</v>
      </c>
      <c r="D248" s="263" t="s">
        <v>200</v>
      </c>
      <c r="E248" s="263" t="s">
        <v>200</v>
      </c>
      <c r="F248" s="263" t="s">
        <v>200</v>
      </c>
      <c r="G248" s="263" t="s">
        <v>834</v>
      </c>
      <c r="H248" s="263" t="s">
        <v>200</v>
      </c>
      <c r="I248" s="263" t="s">
        <v>801</v>
      </c>
      <c r="J248" s="263" t="s">
        <v>200</v>
      </c>
      <c r="K248" s="263" t="s">
        <v>400</v>
      </c>
      <c r="L248" s="263" t="s">
        <v>200</v>
      </c>
      <c r="M248" s="263" t="s">
        <v>200</v>
      </c>
      <c r="N248" s="263" t="s">
        <v>200</v>
      </c>
      <c r="O248" s="263" t="s">
        <v>200</v>
      </c>
      <c r="P248" s="263" t="s">
        <v>200</v>
      </c>
      <c r="Q248" s="263" t="s">
        <v>200</v>
      </c>
      <c r="R248" s="263" t="s">
        <v>200</v>
      </c>
      <c r="S248" s="263" t="s">
        <v>200</v>
      </c>
      <c r="T248" s="263" t="s">
        <v>200</v>
      </c>
      <c r="U248" s="263" t="s">
        <v>200</v>
      </c>
      <c r="V248" s="263" t="s">
        <v>200</v>
      </c>
      <c r="W248" s="263" t="s">
        <v>200</v>
      </c>
      <c r="X248" s="263" t="s">
        <v>200</v>
      </c>
      <c r="Y248" s="263" t="s">
        <v>200</v>
      </c>
      <c r="Z248" s="263" t="s">
        <v>200</v>
      </c>
      <c r="AA248" s="263" t="s">
        <v>200</v>
      </c>
      <c r="AB248" s="263" t="s">
        <v>200</v>
      </c>
      <c r="AC248" s="263" t="s">
        <v>200</v>
      </c>
      <c r="AD248" s="263" t="s">
        <v>200</v>
      </c>
      <c r="AE248" s="263" t="s">
        <v>675</v>
      </c>
      <c r="AF248" s="248" t="s">
        <v>35</v>
      </c>
      <c r="AG248" s="263" t="s">
        <v>964</v>
      </c>
      <c r="AI248" s="48"/>
      <c r="AJ248" s="48"/>
      <c r="AK248" s="48"/>
      <c r="AL248" s="48"/>
    </row>
    <row r="249" spans="1:38" s="263" customFormat="1">
      <c r="A249" s="263">
        <v>1120</v>
      </c>
      <c r="B249" s="263" t="s">
        <v>560</v>
      </c>
      <c r="C249" s="263" t="s">
        <v>200</v>
      </c>
      <c r="D249" s="263" t="s">
        <v>200</v>
      </c>
      <c r="E249" s="263" t="s">
        <v>200</v>
      </c>
      <c r="F249" s="263" t="s">
        <v>200</v>
      </c>
      <c r="G249" s="263" t="s">
        <v>834</v>
      </c>
      <c r="H249" s="263" t="s">
        <v>200</v>
      </c>
      <c r="I249" s="263" t="s">
        <v>801</v>
      </c>
      <c r="J249" s="263">
        <v>1</v>
      </c>
      <c r="K249" s="263" t="s">
        <v>976</v>
      </c>
      <c r="L249" s="263" t="s">
        <v>200</v>
      </c>
      <c r="M249" s="263" t="s">
        <v>200</v>
      </c>
      <c r="N249" s="263" t="s">
        <v>200</v>
      </c>
      <c r="O249" s="263" t="s">
        <v>200</v>
      </c>
      <c r="P249" s="263" t="s">
        <v>200</v>
      </c>
      <c r="Q249" s="263" t="s">
        <v>200</v>
      </c>
      <c r="R249" s="263" t="s">
        <v>200</v>
      </c>
      <c r="S249" s="263" t="s">
        <v>200</v>
      </c>
      <c r="T249" s="263" t="s">
        <v>73</v>
      </c>
      <c r="U249" s="263" t="s">
        <v>119</v>
      </c>
      <c r="V249" s="263" t="s">
        <v>200</v>
      </c>
      <c r="W249" s="263" t="s">
        <v>200</v>
      </c>
      <c r="X249" s="263" t="s">
        <v>200</v>
      </c>
      <c r="Y249" s="263" t="s">
        <v>200</v>
      </c>
      <c r="Z249" s="269" t="s">
        <v>200</v>
      </c>
      <c r="AA249" s="267" t="s">
        <v>200</v>
      </c>
      <c r="AB249" s="263" t="s">
        <v>200</v>
      </c>
      <c r="AC249" s="263" t="s">
        <v>200</v>
      </c>
      <c r="AE249" s="263" t="s">
        <v>675</v>
      </c>
      <c r="AF249" s="248" t="s">
        <v>35</v>
      </c>
      <c r="AG249" s="263" t="s">
        <v>964</v>
      </c>
      <c r="AI249" s="48"/>
      <c r="AJ249" s="48"/>
      <c r="AK249" s="48"/>
      <c r="AL249" s="48"/>
    </row>
    <row r="250" spans="1:38" s="263" customFormat="1">
      <c r="A250" s="275">
        <v>1105</v>
      </c>
      <c r="B250" s="263" t="s">
        <v>560</v>
      </c>
      <c r="C250" s="263" t="s">
        <v>200</v>
      </c>
      <c r="D250" s="263" t="s">
        <v>200</v>
      </c>
      <c r="E250" s="263" t="s">
        <v>200</v>
      </c>
      <c r="F250" s="263" t="s">
        <v>200</v>
      </c>
      <c r="G250" s="263" t="s">
        <v>834</v>
      </c>
      <c r="H250" s="263" t="s">
        <v>200</v>
      </c>
      <c r="I250" s="263" t="s">
        <v>801</v>
      </c>
      <c r="J250" s="263">
        <v>1</v>
      </c>
      <c r="K250" s="263" t="s">
        <v>727</v>
      </c>
      <c r="L250" s="263" t="s">
        <v>200</v>
      </c>
      <c r="M250" s="263" t="s">
        <v>983</v>
      </c>
      <c r="N250" s="263" t="s">
        <v>984</v>
      </c>
      <c r="T250" s="263" t="s">
        <v>73</v>
      </c>
      <c r="U250" s="263" t="s">
        <v>237</v>
      </c>
      <c r="V250" s="263" t="s">
        <v>200</v>
      </c>
      <c r="W250" s="265">
        <v>4300</v>
      </c>
      <c r="X250" s="265">
        <v>4300</v>
      </c>
      <c r="Y250" s="265">
        <v>86</v>
      </c>
      <c r="AE250" s="263" t="s">
        <v>675</v>
      </c>
      <c r="AF250" s="248" t="s">
        <v>35</v>
      </c>
      <c r="AG250" s="263" t="s">
        <v>985</v>
      </c>
      <c r="AI250" s="48"/>
      <c r="AJ250" s="48"/>
      <c r="AK250" s="48"/>
      <c r="AL250" s="48"/>
    </row>
    <row r="251" spans="1:38" s="263" customFormat="1">
      <c r="A251" s="275">
        <v>1106</v>
      </c>
      <c r="B251" s="263" t="s">
        <v>560</v>
      </c>
      <c r="C251" s="263" t="s">
        <v>200</v>
      </c>
      <c r="D251" s="263" t="s">
        <v>200</v>
      </c>
      <c r="E251" s="263" t="s">
        <v>200</v>
      </c>
      <c r="F251" s="263" t="s">
        <v>200</v>
      </c>
      <c r="G251" s="263" t="s">
        <v>834</v>
      </c>
      <c r="H251" s="263" t="s">
        <v>200</v>
      </c>
      <c r="I251" s="263" t="s">
        <v>801</v>
      </c>
      <c r="J251" s="263">
        <v>1</v>
      </c>
      <c r="K251" s="263" t="s">
        <v>218</v>
      </c>
      <c r="L251" s="263" t="s">
        <v>200</v>
      </c>
      <c r="M251" s="263" t="s">
        <v>986</v>
      </c>
      <c r="N251" s="263" t="s">
        <v>987</v>
      </c>
      <c r="T251" s="263" t="s">
        <v>73</v>
      </c>
      <c r="U251" s="263" t="s">
        <v>812</v>
      </c>
      <c r="V251" s="263" t="s">
        <v>200</v>
      </c>
      <c r="W251" s="265">
        <v>2000</v>
      </c>
      <c r="X251" s="265">
        <v>2000</v>
      </c>
      <c r="Y251" s="265">
        <v>40</v>
      </c>
      <c r="AE251" s="263" t="s">
        <v>675</v>
      </c>
      <c r="AF251" s="248" t="s">
        <v>35</v>
      </c>
      <c r="AG251" s="263" t="s">
        <v>985</v>
      </c>
      <c r="AI251" s="48"/>
      <c r="AJ251" s="48"/>
      <c r="AK251" s="48"/>
      <c r="AL251" s="48"/>
    </row>
    <row r="252" spans="1:38" s="263" customFormat="1">
      <c r="A252" s="275">
        <v>1109</v>
      </c>
      <c r="B252" s="263" t="s">
        <v>560</v>
      </c>
      <c r="C252" s="263" t="s">
        <v>200</v>
      </c>
      <c r="D252" s="263" t="s">
        <v>200</v>
      </c>
      <c r="E252" s="263" t="s">
        <v>200</v>
      </c>
      <c r="F252" s="263" t="s">
        <v>200</v>
      </c>
      <c r="G252" s="263" t="s">
        <v>834</v>
      </c>
      <c r="H252" s="263" t="s">
        <v>200</v>
      </c>
      <c r="I252" s="263" t="s">
        <v>801</v>
      </c>
      <c r="J252" s="263">
        <v>1</v>
      </c>
      <c r="K252" s="263" t="s">
        <v>218</v>
      </c>
      <c r="L252" s="263" t="s">
        <v>200</v>
      </c>
      <c r="M252" s="263" t="s">
        <v>988</v>
      </c>
      <c r="N252" s="263" t="s">
        <v>989</v>
      </c>
      <c r="T252" s="263" t="s">
        <v>73</v>
      </c>
      <c r="U252" s="263" t="s">
        <v>258</v>
      </c>
      <c r="V252" s="263" t="s">
        <v>200</v>
      </c>
      <c r="W252" s="265">
        <v>5000</v>
      </c>
      <c r="X252" s="265">
        <v>5000</v>
      </c>
      <c r="Y252" s="265">
        <v>100</v>
      </c>
      <c r="AE252" s="263" t="s">
        <v>675</v>
      </c>
      <c r="AF252" s="248" t="s">
        <v>35</v>
      </c>
      <c r="AG252" s="263" t="s">
        <v>985</v>
      </c>
      <c r="AI252" s="48"/>
      <c r="AJ252" s="48"/>
      <c r="AK252" s="48"/>
      <c r="AL252" s="48"/>
    </row>
    <row r="253" spans="1:38" s="263" customFormat="1">
      <c r="A253" s="275">
        <v>1119</v>
      </c>
      <c r="B253" s="263" t="s">
        <v>560</v>
      </c>
      <c r="C253" s="263" t="s">
        <v>200</v>
      </c>
      <c r="D253" s="263" t="s">
        <v>200</v>
      </c>
      <c r="E253" s="263" t="s">
        <v>200</v>
      </c>
      <c r="F253" s="263" t="s">
        <v>200</v>
      </c>
      <c r="G253" s="263" t="s">
        <v>834</v>
      </c>
      <c r="H253" s="263" t="s">
        <v>200</v>
      </c>
      <c r="I253" s="263" t="s">
        <v>801</v>
      </c>
      <c r="J253" s="263">
        <v>1</v>
      </c>
      <c r="K253" s="263" t="s">
        <v>218</v>
      </c>
      <c r="L253" s="263" t="s">
        <v>200</v>
      </c>
      <c r="M253" s="263" t="s">
        <v>988</v>
      </c>
      <c r="N253" s="263" t="s">
        <v>990</v>
      </c>
      <c r="T253" s="263" t="s">
        <v>73</v>
      </c>
      <c r="U253" s="263" t="s">
        <v>991</v>
      </c>
      <c r="V253" s="263" t="s">
        <v>200</v>
      </c>
      <c r="W253" s="265">
        <v>8250</v>
      </c>
      <c r="X253" s="265">
        <v>8250</v>
      </c>
      <c r="Y253" s="265">
        <v>165</v>
      </c>
      <c r="AE253" s="263" t="s">
        <v>675</v>
      </c>
      <c r="AF253" s="248" t="s">
        <v>35</v>
      </c>
      <c r="AG253" s="263" t="s">
        <v>985</v>
      </c>
      <c r="AI253" s="48"/>
      <c r="AJ253" s="48"/>
      <c r="AK253" s="48"/>
      <c r="AL253" s="48"/>
    </row>
    <row r="254" spans="1:38" s="263" customFormat="1">
      <c r="A254" s="275">
        <v>1121</v>
      </c>
      <c r="B254" s="263" t="s">
        <v>560</v>
      </c>
      <c r="C254" s="263" t="s">
        <v>200</v>
      </c>
      <c r="D254" s="263" t="s">
        <v>200</v>
      </c>
      <c r="E254" s="263" t="s">
        <v>200</v>
      </c>
      <c r="F254" s="263" t="s">
        <v>200</v>
      </c>
      <c r="G254" s="263" t="s">
        <v>834</v>
      </c>
      <c r="H254" s="263" t="s">
        <v>200</v>
      </c>
      <c r="I254" s="263" t="s">
        <v>801</v>
      </c>
      <c r="J254" s="263">
        <v>1</v>
      </c>
      <c r="K254" s="263" t="s">
        <v>218</v>
      </c>
      <c r="L254" s="263" t="s">
        <v>200</v>
      </c>
      <c r="M254" s="263" t="s">
        <v>992</v>
      </c>
      <c r="N254" s="263" t="s">
        <v>993</v>
      </c>
      <c r="T254" s="263" t="s">
        <v>73</v>
      </c>
      <c r="U254" s="263" t="s">
        <v>771</v>
      </c>
      <c r="V254" s="263" t="s">
        <v>200</v>
      </c>
      <c r="W254" s="265">
        <v>2500</v>
      </c>
      <c r="X254" s="265">
        <v>2500</v>
      </c>
      <c r="Y254" s="265">
        <v>50</v>
      </c>
      <c r="AE254" s="263" t="s">
        <v>675</v>
      </c>
      <c r="AF254" s="248" t="s">
        <v>35</v>
      </c>
      <c r="AG254" s="263" t="s">
        <v>985</v>
      </c>
      <c r="AI254" s="48"/>
      <c r="AJ254" s="48"/>
      <c r="AK254" s="48"/>
      <c r="AL254" s="48"/>
    </row>
    <row r="255" spans="1:38" s="263" customFormat="1">
      <c r="A255" s="275">
        <v>1122</v>
      </c>
      <c r="B255" s="263" t="s">
        <v>560</v>
      </c>
      <c r="C255" s="263" t="s">
        <v>200</v>
      </c>
      <c r="D255" s="263" t="s">
        <v>200</v>
      </c>
      <c r="E255" s="263" t="s">
        <v>200</v>
      </c>
      <c r="F255" s="263" t="s">
        <v>200</v>
      </c>
      <c r="G255" s="263" t="s">
        <v>834</v>
      </c>
      <c r="H255" s="263" t="s">
        <v>200</v>
      </c>
      <c r="I255" s="263" t="s">
        <v>801</v>
      </c>
      <c r="J255" s="263">
        <v>1</v>
      </c>
      <c r="K255" s="263" t="s">
        <v>396</v>
      </c>
      <c r="L255" s="263" t="s">
        <v>200</v>
      </c>
      <c r="M255" s="263" t="s">
        <v>994</v>
      </c>
      <c r="N255" s="263" t="s">
        <v>995</v>
      </c>
      <c r="T255" s="263" t="s">
        <v>73</v>
      </c>
      <c r="U255" s="263" t="s">
        <v>771</v>
      </c>
      <c r="V255" s="263" t="s">
        <v>200</v>
      </c>
      <c r="W255" s="265">
        <v>3000</v>
      </c>
      <c r="X255" s="265">
        <v>3000</v>
      </c>
      <c r="Y255" s="265">
        <v>60</v>
      </c>
      <c r="AE255" s="263" t="s">
        <v>675</v>
      </c>
      <c r="AF255" s="248" t="s">
        <v>35</v>
      </c>
      <c r="AG255" s="263" t="s">
        <v>985</v>
      </c>
      <c r="AI255" s="48"/>
      <c r="AJ255" s="48"/>
      <c r="AK255" s="48"/>
      <c r="AL255" s="48"/>
    </row>
    <row r="256" spans="1:38" s="263" customFormat="1">
      <c r="A256" s="275">
        <v>1124</v>
      </c>
      <c r="B256" s="263" t="s">
        <v>560</v>
      </c>
      <c r="C256" s="263" t="s">
        <v>200</v>
      </c>
      <c r="D256" s="263" t="s">
        <v>200</v>
      </c>
      <c r="E256" s="263" t="s">
        <v>200</v>
      </c>
      <c r="F256" s="263" t="s">
        <v>200</v>
      </c>
      <c r="G256" s="263" t="s">
        <v>834</v>
      </c>
      <c r="H256" s="263" t="s">
        <v>200</v>
      </c>
      <c r="I256" s="263" t="s">
        <v>801</v>
      </c>
      <c r="J256" s="263">
        <v>1</v>
      </c>
      <c r="K256" s="263" t="s">
        <v>44</v>
      </c>
      <c r="L256" s="263" t="s">
        <v>200</v>
      </c>
      <c r="M256" s="263" t="s">
        <v>996</v>
      </c>
      <c r="N256" s="263" t="s">
        <v>997</v>
      </c>
      <c r="T256" s="263" t="s">
        <v>73</v>
      </c>
      <c r="U256" s="263" t="s">
        <v>738</v>
      </c>
      <c r="V256" s="263" t="s">
        <v>200</v>
      </c>
      <c r="W256" s="265">
        <v>3500</v>
      </c>
      <c r="X256" s="265">
        <v>3500</v>
      </c>
      <c r="Y256" s="265">
        <v>70</v>
      </c>
      <c r="AE256" s="263" t="s">
        <v>675</v>
      </c>
      <c r="AF256" s="248" t="s">
        <v>35</v>
      </c>
      <c r="AG256" s="263" t="s">
        <v>985</v>
      </c>
      <c r="AI256" s="48"/>
      <c r="AJ256" s="48"/>
      <c r="AK256" s="48"/>
      <c r="AL256" s="48"/>
    </row>
    <row r="257" spans="1:38" s="263" customFormat="1">
      <c r="A257" s="275">
        <v>1125</v>
      </c>
      <c r="B257" s="263" t="s">
        <v>560</v>
      </c>
      <c r="C257" s="263" t="s">
        <v>200</v>
      </c>
      <c r="D257" s="263" t="s">
        <v>200</v>
      </c>
      <c r="E257" s="263" t="s">
        <v>200</v>
      </c>
      <c r="F257" s="263" t="s">
        <v>200</v>
      </c>
      <c r="G257" s="263" t="s">
        <v>834</v>
      </c>
      <c r="H257" s="263" t="s">
        <v>200</v>
      </c>
      <c r="I257" s="263" t="s">
        <v>801</v>
      </c>
      <c r="J257" s="263">
        <v>1</v>
      </c>
      <c r="K257" s="263" t="s">
        <v>218</v>
      </c>
      <c r="L257" s="263" t="s">
        <v>200</v>
      </c>
      <c r="M257" s="263" t="s">
        <v>998</v>
      </c>
      <c r="N257" s="263" t="s">
        <v>999</v>
      </c>
      <c r="T257" s="263" t="s">
        <v>714</v>
      </c>
      <c r="U257" s="263" t="s">
        <v>738</v>
      </c>
      <c r="V257" s="263" t="s">
        <v>200</v>
      </c>
      <c r="W257" s="265">
        <v>2000</v>
      </c>
      <c r="X257" s="265">
        <v>2000</v>
      </c>
      <c r="Y257" s="265">
        <v>40</v>
      </c>
      <c r="AE257" s="263" t="s">
        <v>675</v>
      </c>
      <c r="AF257" s="248" t="s">
        <v>35</v>
      </c>
      <c r="AG257" s="263" t="s">
        <v>985</v>
      </c>
      <c r="AI257" s="48"/>
      <c r="AJ257" s="48"/>
      <c r="AK257" s="48"/>
      <c r="AL257" s="48"/>
    </row>
    <row r="258" spans="1:38" s="263" customFormat="1">
      <c r="A258" s="275">
        <v>1126</v>
      </c>
      <c r="B258" s="263" t="s">
        <v>560</v>
      </c>
      <c r="C258" s="263" t="s">
        <v>200</v>
      </c>
      <c r="D258" s="263" t="s">
        <v>200</v>
      </c>
      <c r="E258" s="263" t="s">
        <v>200</v>
      </c>
      <c r="F258" s="263" t="s">
        <v>200</v>
      </c>
      <c r="G258" s="263" t="s">
        <v>834</v>
      </c>
      <c r="H258" s="263" t="s">
        <v>200</v>
      </c>
      <c r="I258" s="263" t="s">
        <v>801</v>
      </c>
      <c r="J258" s="263">
        <v>1</v>
      </c>
      <c r="K258" s="263" t="s">
        <v>396</v>
      </c>
      <c r="L258" s="263" t="s">
        <v>200</v>
      </c>
      <c r="M258" s="263" t="s">
        <v>1000</v>
      </c>
      <c r="N258" s="263" t="s">
        <v>1001</v>
      </c>
      <c r="T258" s="263" t="s">
        <v>73</v>
      </c>
      <c r="U258" s="263" t="s">
        <v>1002</v>
      </c>
      <c r="V258" s="263" t="s">
        <v>200</v>
      </c>
      <c r="W258" s="265">
        <v>2000</v>
      </c>
      <c r="X258" s="265">
        <v>2000</v>
      </c>
      <c r="Y258" s="265">
        <v>40</v>
      </c>
      <c r="AE258" s="263" t="s">
        <v>675</v>
      </c>
      <c r="AF258" s="248" t="s">
        <v>35</v>
      </c>
      <c r="AG258" s="263" t="s">
        <v>985</v>
      </c>
      <c r="AI258" s="48"/>
      <c r="AJ258" s="48"/>
      <c r="AK258" s="48"/>
      <c r="AL258" s="48"/>
    </row>
    <row r="259" spans="1:38" s="263" customFormat="1">
      <c r="A259" s="275">
        <v>1127</v>
      </c>
      <c r="B259" s="263" t="s">
        <v>560</v>
      </c>
      <c r="C259" s="263" t="s">
        <v>200</v>
      </c>
      <c r="D259" s="263" t="s">
        <v>200</v>
      </c>
      <c r="E259" s="263" t="s">
        <v>200</v>
      </c>
      <c r="F259" s="263" t="s">
        <v>200</v>
      </c>
      <c r="G259" s="263" t="s">
        <v>834</v>
      </c>
      <c r="H259" s="263" t="s">
        <v>200</v>
      </c>
      <c r="I259" s="263" t="s">
        <v>801</v>
      </c>
      <c r="J259" s="263">
        <v>1</v>
      </c>
      <c r="K259" s="263" t="s">
        <v>396</v>
      </c>
      <c r="L259" s="263" t="s">
        <v>200</v>
      </c>
      <c r="M259" s="263" t="s">
        <v>1003</v>
      </c>
      <c r="N259" s="263" t="s">
        <v>1004</v>
      </c>
      <c r="T259" s="263" t="s">
        <v>73</v>
      </c>
      <c r="U259" s="263" t="s">
        <v>1002</v>
      </c>
      <c r="V259" s="263" t="s">
        <v>200</v>
      </c>
      <c r="W259" s="265">
        <v>2000</v>
      </c>
      <c r="X259" s="265">
        <v>2000</v>
      </c>
      <c r="Y259" s="265">
        <v>40</v>
      </c>
      <c r="AE259" s="263" t="s">
        <v>675</v>
      </c>
      <c r="AF259" s="248" t="s">
        <v>35</v>
      </c>
      <c r="AG259" s="263" t="s">
        <v>985</v>
      </c>
      <c r="AI259" s="48"/>
      <c r="AJ259" s="48"/>
      <c r="AK259" s="48"/>
      <c r="AL259" s="48"/>
    </row>
    <row r="260" spans="1:38" s="263" customFormat="1">
      <c r="A260" s="275">
        <v>1128</v>
      </c>
      <c r="B260" s="263" t="s">
        <v>560</v>
      </c>
      <c r="C260" s="263" t="s">
        <v>200</v>
      </c>
      <c r="D260" s="263" t="s">
        <v>200</v>
      </c>
      <c r="E260" s="263" t="s">
        <v>200</v>
      </c>
      <c r="F260" s="263" t="s">
        <v>200</v>
      </c>
      <c r="G260" s="263" t="s">
        <v>834</v>
      </c>
      <c r="H260" s="263" t="s">
        <v>200</v>
      </c>
      <c r="I260" s="263" t="s">
        <v>801</v>
      </c>
      <c r="J260" s="263">
        <v>1</v>
      </c>
      <c r="K260" s="263" t="s">
        <v>396</v>
      </c>
      <c r="L260" s="263" t="s">
        <v>200</v>
      </c>
      <c r="M260" s="263" t="s">
        <v>1005</v>
      </c>
      <c r="N260" s="263" t="s">
        <v>1006</v>
      </c>
      <c r="T260" s="263" t="s">
        <v>73</v>
      </c>
      <c r="U260" s="263" t="s">
        <v>1002</v>
      </c>
      <c r="V260" s="263" t="s">
        <v>200</v>
      </c>
      <c r="W260" s="265">
        <v>3500</v>
      </c>
      <c r="X260" s="265">
        <v>3500</v>
      </c>
      <c r="Y260" s="265">
        <v>70</v>
      </c>
      <c r="AE260" s="263" t="s">
        <v>675</v>
      </c>
      <c r="AF260" s="248" t="s">
        <v>35</v>
      </c>
      <c r="AG260" s="263" t="s">
        <v>985</v>
      </c>
      <c r="AI260" s="48"/>
      <c r="AJ260" s="48"/>
      <c r="AK260" s="48"/>
      <c r="AL260" s="48"/>
    </row>
    <row r="261" spans="1:38" s="263" customFormat="1">
      <c r="A261" s="275">
        <v>1129</v>
      </c>
      <c r="B261" s="263" t="s">
        <v>560</v>
      </c>
      <c r="C261" s="263" t="s">
        <v>200</v>
      </c>
      <c r="D261" s="263" t="s">
        <v>200</v>
      </c>
      <c r="E261" s="263" t="s">
        <v>200</v>
      </c>
      <c r="F261" s="263" t="s">
        <v>200</v>
      </c>
      <c r="G261" s="263" t="s">
        <v>834</v>
      </c>
      <c r="H261" s="263" t="s">
        <v>200</v>
      </c>
      <c r="I261" s="263" t="s">
        <v>801</v>
      </c>
      <c r="J261" s="263">
        <v>1</v>
      </c>
      <c r="K261" s="263" t="s">
        <v>396</v>
      </c>
      <c r="L261" s="263" t="s">
        <v>200</v>
      </c>
      <c r="M261" s="263" t="s">
        <v>1000</v>
      </c>
      <c r="N261" s="263" t="s">
        <v>1007</v>
      </c>
      <c r="T261" s="263" t="s">
        <v>73</v>
      </c>
      <c r="U261" s="263" t="s">
        <v>1002</v>
      </c>
      <c r="V261" s="263" t="s">
        <v>200</v>
      </c>
      <c r="W261" s="265">
        <v>2000</v>
      </c>
      <c r="X261" s="265">
        <v>2000</v>
      </c>
      <c r="Y261" s="265">
        <v>40</v>
      </c>
      <c r="AE261" s="263" t="s">
        <v>675</v>
      </c>
      <c r="AF261" s="248" t="s">
        <v>35</v>
      </c>
      <c r="AG261" s="263" t="s">
        <v>985</v>
      </c>
      <c r="AI261" s="48"/>
      <c r="AJ261" s="48"/>
      <c r="AK261" s="48"/>
      <c r="AL261" s="48"/>
    </row>
    <row r="262" spans="1:38" s="263" customFormat="1">
      <c r="A262" s="275">
        <v>1130</v>
      </c>
      <c r="B262" s="263" t="s">
        <v>560</v>
      </c>
      <c r="C262" s="263" t="s">
        <v>200</v>
      </c>
      <c r="D262" s="263" t="s">
        <v>200</v>
      </c>
      <c r="E262" s="263" t="s">
        <v>200</v>
      </c>
      <c r="F262" s="263" t="s">
        <v>200</v>
      </c>
      <c r="G262" s="263" t="s">
        <v>834</v>
      </c>
      <c r="H262" s="263" t="s">
        <v>200</v>
      </c>
      <c r="I262" s="263" t="s">
        <v>801</v>
      </c>
      <c r="J262" s="263">
        <v>1</v>
      </c>
      <c r="K262" s="263" t="s">
        <v>396</v>
      </c>
      <c r="L262" s="263" t="s">
        <v>200</v>
      </c>
      <c r="M262" s="263" t="s">
        <v>1000</v>
      </c>
      <c r="N262" s="263" t="s">
        <v>1008</v>
      </c>
      <c r="T262" s="263" t="s">
        <v>73</v>
      </c>
      <c r="U262" s="263" t="s">
        <v>1002</v>
      </c>
      <c r="V262" s="263" t="s">
        <v>200</v>
      </c>
      <c r="W262" s="265">
        <v>2000</v>
      </c>
      <c r="X262" s="265">
        <v>2000</v>
      </c>
      <c r="Y262" s="265">
        <v>40</v>
      </c>
      <c r="AE262" s="263" t="s">
        <v>675</v>
      </c>
      <c r="AF262" s="248" t="s">
        <v>35</v>
      </c>
      <c r="AG262" s="263" t="s">
        <v>985</v>
      </c>
      <c r="AI262" s="48"/>
      <c r="AJ262" s="48"/>
      <c r="AK262" s="48"/>
      <c r="AL262" s="48"/>
    </row>
    <row r="263" spans="1:38" s="263" customFormat="1">
      <c r="A263" s="275">
        <v>1131</v>
      </c>
      <c r="B263" s="263" t="s">
        <v>560</v>
      </c>
      <c r="C263" s="263" t="s">
        <v>200</v>
      </c>
      <c r="D263" s="263" t="s">
        <v>200</v>
      </c>
      <c r="E263" s="263" t="s">
        <v>200</v>
      </c>
      <c r="F263" s="263" t="s">
        <v>200</v>
      </c>
      <c r="G263" s="263" t="s">
        <v>834</v>
      </c>
      <c r="H263" s="263" t="s">
        <v>200</v>
      </c>
      <c r="I263" s="263" t="s">
        <v>801</v>
      </c>
      <c r="J263" s="263">
        <v>1</v>
      </c>
      <c r="K263" s="263" t="s">
        <v>44</v>
      </c>
      <c r="L263" s="263" t="s">
        <v>200</v>
      </c>
      <c r="M263" s="263" t="s">
        <v>1009</v>
      </c>
      <c r="N263" s="263" t="s">
        <v>1010</v>
      </c>
      <c r="T263" s="263" t="s">
        <v>73</v>
      </c>
      <c r="U263" s="263" t="s">
        <v>1002</v>
      </c>
      <c r="V263" s="263" t="s">
        <v>200</v>
      </c>
      <c r="W263" s="265">
        <v>900</v>
      </c>
      <c r="X263" s="265">
        <v>900</v>
      </c>
      <c r="Y263" s="265">
        <v>18</v>
      </c>
      <c r="AE263" s="263" t="s">
        <v>675</v>
      </c>
      <c r="AF263" s="248" t="s">
        <v>35</v>
      </c>
      <c r="AG263" s="263" t="s">
        <v>985</v>
      </c>
      <c r="AI263" s="48"/>
      <c r="AJ263" s="48"/>
      <c r="AK263" s="48"/>
      <c r="AL263" s="48"/>
    </row>
    <row r="264" spans="1:38" s="263" customFormat="1">
      <c r="A264" s="275">
        <v>1132</v>
      </c>
      <c r="B264" s="263" t="s">
        <v>560</v>
      </c>
      <c r="C264" s="263" t="s">
        <v>200</v>
      </c>
      <c r="D264" s="263" t="s">
        <v>200</v>
      </c>
      <c r="E264" s="263" t="s">
        <v>200</v>
      </c>
      <c r="F264" s="263" t="s">
        <v>200</v>
      </c>
      <c r="G264" s="263" t="s">
        <v>834</v>
      </c>
      <c r="H264" s="263" t="s">
        <v>200</v>
      </c>
      <c r="I264" s="263" t="s">
        <v>801</v>
      </c>
      <c r="J264" s="263">
        <v>1</v>
      </c>
      <c r="K264" s="263" t="s">
        <v>396</v>
      </c>
      <c r="L264" s="263" t="s">
        <v>200</v>
      </c>
      <c r="M264" s="263" t="s">
        <v>1011</v>
      </c>
      <c r="N264" s="263" t="s">
        <v>1012</v>
      </c>
      <c r="T264" s="263" t="s">
        <v>73</v>
      </c>
      <c r="U264" s="263" t="s">
        <v>1002</v>
      </c>
      <c r="V264" s="263" t="s">
        <v>200</v>
      </c>
      <c r="W264" s="265">
        <v>900</v>
      </c>
      <c r="X264" s="265">
        <v>900</v>
      </c>
      <c r="Y264" s="265">
        <v>18</v>
      </c>
      <c r="AE264" s="263" t="s">
        <v>675</v>
      </c>
      <c r="AF264" s="248" t="s">
        <v>35</v>
      </c>
      <c r="AG264" s="263" t="s">
        <v>985</v>
      </c>
      <c r="AI264" s="48"/>
      <c r="AJ264" s="48"/>
      <c r="AK264" s="48"/>
      <c r="AL264" s="48"/>
    </row>
    <row r="265" spans="1:38" s="263" customFormat="1">
      <c r="A265" s="275">
        <v>1133</v>
      </c>
      <c r="B265" s="263" t="s">
        <v>560</v>
      </c>
      <c r="C265" s="263" t="s">
        <v>200</v>
      </c>
      <c r="D265" s="263" t="s">
        <v>200</v>
      </c>
      <c r="E265" s="263" t="s">
        <v>200</v>
      </c>
      <c r="F265" s="263" t="s">
        <v>200</v>
      </c>
      <c r="G265" s="263" t="s">
        <v>834</v>
      </c>
      <c r="H265" s="263" t="s">
        <v>200</v>
      </c>
      <c r="I265" s="263" t="s">
        <v>801</v>
      </c>
      <c r="J265" s="263">
        <v>1</v>
      </c>
      <c r="K265" s="263" t="s">
        <v>218</v>
      </c>
      <c r="L265" s="263" t="s">
        <v>200</v>
      </c>
      <c r="M265" s="263" t="s">
        <v>1013</v>
      </c>
      <c r="N265" s="263" t="s">
        <v>1014</v>
      </c>
      <c r="T265" s="263" t="s">
        <v>73</v>
      </c>
      <c r="U265" s="263" t="s">
        <v>771</v>
      </c>
      <c r="V265" s="263" t="s">
        <v>200</v>
      </c>
      <c r="W265" s="265">
        <v>2500</v>
      </c>
      <c r="X265" s="265">
        <v>2500</v>
      </c>
      <c r="Y265" s="265">
        <v>50</v>
      </c>
      <c r="AE265" s="263">
        <v>190602</v>
      </c>
      <c r="AF265" s="248" t="s">
        <v>35</v>
      </c>
      <c r="AG265" s="263" t="s">
        <v>985</v>
      </c>
      <c r="AI265" s="48"/>
      <c r="AJ265" s="48"/>
      <c r="AK265" s="48"/>
      <c r="AL265" s="48"/>
    </row>
    <row r="266" spans="1:38" s="263" customFormat="1">
      <c r="A266" s="275">
        <v>9021</v>
      </c>
      <c r="B266" s="263" t="s">
        <v>1015</v>
      </c>
      <c r="C266" s="263" t="s">
        <v>200</v>
      </c>
      <c r="D266" s="263" t="s">
        <v>200</v>
      </c>
      <c r="E266" s="263" t="s">
        <v>200</v>
      </c>
      <c r="F266" s="263" t="s">
        <v>200</v>
      </c>
      <c r="G266" s="263" t="s">
        <v>834</v>
      </c>
      <c r="H266" s="263" t="s">
        <v>200</v>
      </c>
      <c r="I266" s="263" t="s">
        <v>801</v>
      </c>
      <c r="J266" s="263">
        <v>1</v>
      </c>
      <c r="K266" s="263" t="s">
        <v>200</v>
      </c>
      <c r="L266" s="263" t="s">
        <v>200</v>
      </c>
      <c r="M266" s="263" t="s">
        <v>200</v>
      </c>
      <c r="N266" s="263" t="s">
        <v>200</v>
      </c>
      <c r="O266" s="263" t="s">
        <v>200</v>
      </c>
      <c r="P266" s="263" t="s">
        <v>200</v>
      </c>
      <c r="Q266" s="263" t="s">
        <v>200</v>
      </c>
      <c r="R266" s="263" t="s">
        <v>200</v>
      </c>
      <c r="S266" s="263" t="s">
        <v>200</v>
      </c>
      <c r="T266" s="263" t="s">
        <v>200</v>
      </c>
      <c r="U266" s="263" t="s">
        <v>200</v>
      </c>
      <c r="V266" s="263" t="s">
        <v>200</v>
      </c>
      <c r="W266" s="263" t="s">
        <v>200</v>
      </c>
      <c r="X266" s="263" t="s">
        <v>200</v>
      </c>
      <c r="Y266" s="263" t="s">
        <v>200</v>
      </c>
      <c r="Z266" s="263" t="s">
        <v>200</v>
      </c>
      <c r="AA266" s="263" t="s">
        <v>200</v>
      </c>
      <c r="AB266" s="263" t="s">
        <v>200</v>
      </c>
      <c r="AC266" s="263" t="s">
        <v>200</v>
      </c>
      <c r="AD266" s="263" t="s">
        <v>200</v>
      </c>
      <c r="AE266" s="263" t="s">
        <v>675</v>
      </c>
      <c r="AF266" s="248" t="s">
        <v>35</v>
      </c>
      <c r="AG266" s="263" t="s">
        <v>864</v>
      </c>
      <c r="AI266" s="48"/>
      <c r="AJ266" s="48"/>
      <c r="AK266" s="48"/>
      <c r="AL266" s="48"/>
    </row>
    <row r="267" spans="1:38" s="263" customFormat="1">
      <c r="A267" s="275">
        <v>9023</v>
      </c>
      <c r="B267" s="263" t="s">
        <v>1016</v>
      </c>
      <c r="C267" s="263" t="s">
        <v>200</v>
      </c>
      <c r="D267" s="263" t="s">
        <v>200</v>
      </c>
      <c r="E267" s="263" t="s">
        <v>200</v>
      </c>
      <c r="F267" s="263" t="s">
        <v>200</v>
      </c>
      <c r="G267" s="263" t="s">
        <v>834</v>
      </c>
      <c r="H267" s="263" t="s">
        <v>200</v>
      </c>
      <c r="I267" s="263" t="s">
        <v>801</v>
      </c>
      <c r="J267" s="263">
        <v>2</v>
      </c>
      <c r="K267" s="263" t="s">
        <v>200</v>
      </c>
      <c r="L267" s="263" t="s">
        <v>200</v>
      </c>
      <c r="M267" s="263" t="s">
        <v>200</v>
      </c>
      <c r="N267" s="263" t="s">
        <v>200</v>
      </c>
      <c r="O267" s="263" t="s">
        <v>200</v>
      </c>
      <c r="P267" s="263" t="s">
        <v>200</v>
      </c>
      <c r="Q267" s="263" t="s">
        <v>200</v>
      </c>
      <c r="R267" s="263" t="s">
        <v>200</v>
      </c>
      <c r="S267" s="263" t="s">
        <v>200</v>
      </c>
      <c r="T267" s="263" t="s">
        <v>200</v>
      </c>
      <c r="U267" s="263" t="s">
        <v>200</v>
      </c>
      <c r="V267" s="263" t="s">
        <v>200</v>
      </c>
      <c r="W267" s="263" t="s">
        <v>200</v>
      </c>
      <c r="X267" s="263" t="s">
        <v>200</v>
      </c>
      <c r="Y267" s="263" t="s">
        <v>200</v>
      </c>
      <c r="Z267" s="263" t="s">
        <v>200</v>
      </c>
      <c r="AA267" s="263" t="s">
        <v>200</v>
      </c>
      <c r="AB267" s="263" t="s">
        <v>200</v>
      </c>
      <c r="AC267" s="263" t="s">
        <v>200</v>
      </c>
      <c r="AD267" s="263" t="s">
        <v>200</v>
      </c>
      <c r="AE267" s="263" t="s">
        <v>675</v>
      </c>
      <c r="AF267" s="248" t="s">
        <v>35</v>
      </c>
      <c r="AG267" s="263" t="s">
        <v>864</v>
      </c>
      <c r="AI267" s="48"/>
      <c r="AJ267" s="48"/>
      <c r="AK267" s="48"/>
      <c r="AL267" s="48"/>
    </row>
    <row r="268" spans="1:38" s="263" customFormat="1">
      <c r="A268" s="275">
        <v>9024</v>
      </c>
      <c r="B268" s="263" t="s">
        <v>1017</v>
      </c>
      <c r="C268" s="263" t="s">
        <v>200</v>
      </c>
      <c r="D268" s="263" t="s">
        <v>200</v>
      </c>
      <c r="E268" s="263" t="s">
        <v>200</v>
      </c>
      <c r="F268" s="263" t="s">
        <v>200</v>
      </c>
      <c r="G268" s="263" t="s">
        <v>834</v>
      </c>
      <c r="H268" s="263" t="s">
        <v>200</v>
      </c>
      <c r="I268" s="263" t="s">
        <v>801</v>
      </c>
      <c r="J268" s="263">
        <v>1</v>
      </c>
      <c r="K268" s="263" t="s">
        <v>200</v>
      </c>
      <c r="L268" s="263" t="s">
        <v>200</v>
      </c>
      <c r="M268" s="263" t="s">
        <v>200</v>
      </c>
      <c r="N268" s="263" t="s">
        <v>200</v>
      </c>
      <c r="O268" s="263" t="s">
        <v>200</v>
      </c>
      <c r="P268" s="263" t="s">
        <v>200</v>
      </c>
      <c r="Q268" s="263" t="s">
        <v>200</v>
      </c>
      <c r="R268" s="263" t="s">
        <v>200</v>
      </c>
      <c r="S268" s="263" t="s">
        <v>200</v>
      </c>
      <c r="T268" s="263" t="s">
        <v>200</v>
      </c>
      <c r="U268" s="263" t="s">
        <v>200</v>
      </c>
      <c r="V268" s="263" t="s">
        <v>200</v>
      </c>
      <c r="W268" s="263" t="s">
        <v>200</v>
      </c>
      <c r="X268" s="263" t="s">
        <v>200</v>
      </c>
      <c r="Y268" s="263" t="s">
        <v>200</v>
      </c>
      <c r="Z268" s="263" t="s">
        <v>200</v>
      </c>
      <c r="AA268" s="263" t="s">
        <v>200</v>
      </c>
      <c r="AB268" s="263" t="s">
        <v>200</v>
      </c>
      <c r="AC268" s="263" t="s">
        <v>200</v>
      </c>
      <c r="AD268" s="263" t="s">
        <v>200</v>
      </c>
      <c r="AE268" s="263" t="s">
        <v>675</v>
      </c>
      <c r="AF268" s="248" t="s">
        <v>35</v>
      </c>
      <c r="AG268" s="263" t="s">
        <v>864</v>
      </c>
      <c r="AI268" s="48"/>
      <c r="AJ268" s="48"/>
      <c r="AK268" s="48"/>
      <c r="AL268" s="48"/>
    </row>
    <row r="269" spans="1:38" s="263" customFormat="1">
      <c r="A269" s="275">
        <v>1700</v>
      </c>
      <c r="B269" s="263" t="s">
        <v>1018</v>
      </c>
      <c r="C269" s="263" t="s">
        <v>200</v>
      </c>
      <c r="D269" s="263" t="s">
        <v>200</v>
      </c>
      <c r="E269" s="263" t="s">
        <v>200</v>
      </c>
      <c r="F269" s="263" t="s">
        <v>200</v>
      </c>
      <c r="G269" s="263" t="s">
        <v>834</v>
      </c>
      <c r="H269" s="263" t="s">
        <v>200</v>
      </c>
      <c r="I269" s="263" t="s">
        <v>801</v>
      </c>
      <c r="J269" s="263">
        <v>1</v>
      </c>
      <c r="K269" s="263" t="s">
        <v>229</v>
      </c>
      <c r="L269" s="263" t="s">
        <v>200</v>
      </c>
      <c r="M269" s="263" t="s">
        <v>1019</v>
      </c>
      <c r="N269" s="263" t="s">
        <v>1020</v>
      </c>
      <c r="O269" s="263" t="s">
        <v>200</v>
      </c>
      <c r="P269" s="263" t="s">
        <v>200</v>
      </c>
      <c r="Q269" s="263" t="s">
        <v>200</v>
      </c>
      <c r="R269" s="263" t="s">
        <v>200</v>
      </c>
      <c r="S269" s="263" t="s">
        <v>200</v>
      </c>
      <c r="T269" s="263" t="s">
        <v>200</v>
      </c>
      <c r="U269" s="263" t="s">
        <v>200</v>
      </c>
      <c r="V269" s="263" t="s">
        <v>200</v>
      </c>
      <c r="W269" s="263" t="s">
        <v>200</v>
      </c>
      <c r="X269" s="263" t="s">
        <v>200</v>
      </c>
      <c r="Y269" s="263" t="s">
        <v>200</v>
      </c>
      <c r="Z269" s="263" t="s">
        <v>200</v>
      </c>
      <c r="AA269" s="263" t="s">
        <v>200</v>
      </c>
      <c r="AB269" s="263" t="s">
        <v>200</v>
      </c>
      <c r="AC269" s="263" t="s">
        <v>200</v>
      </c>
      <c r="AD269" s="263" t="s">
        <v>200</v>
      </c>
      <c r="AE269" s="263" t="s">
        <v>675</v>
      </c>
      <c r="AF269" s="248" t="s">
        <v>35</v>
      </c>
      <c r="AG269" s="263" t="s">
        <v>864</v>
      </c>
      <c r="AI269" s="48"/>
      <c r="AJ269" s="48"/>
      <c r="AK269" s="48"/>
      <c r="AL269" s="48"/>
    </row>
    <row r="270" spans="1:38" s="263" customFormat="1">
      <c r="A270" s="275">
        <v>1701</v>
      </c>
      <c r="B270" s="263" t="s">
        <v>1018</v>
      </c>
      <c r="C270" s="263" t="s">
        <v>200</v>
      </c>
      <c r="D270" s="263" t="s">
        <v>200</v>
      </c>
      <c r="E270" s="263" t="s">
        <v>200</v>
      </c>
      <c r="F270" s="263" t="s">
        <v>200</v>
      </c>
      <c r="G270" s="263" t="s">
        <v>834</v>
      </c>
      <c r="H270" s="263" t="s">
        <v>200</v>
      </c>
      <c r="I270" s="263" t="s">
        <v>801</v>
      </c>
      <c r="J270" s="263">
        <v>1</v>
      </c>
      <c r="K270" s="263" t="s">
        <v>229</v>
      </c>
      <c r="L270" s="263" t="s">
        <v>200</v>
      </c>
      <c r="M270" s="263" t="s">
        <v>1019</v>
      </c>
      <c r="N270" s="263" t="s">
        <v>1021</v>
      </c>
      <c r="O270" s="263" t="s">
        <v>200</v>
      </c>
      <c r="P270" s="263" t="s">
        <v>200</v>
      </c>
      <c r="Q270" s="263" t="s">
        <v>200</v>
      </c>
      <c r="R270" s="263" t="s">
        <v>200</v>
      </c>
      <c r="S270" s="263" t="s">
        <v>200</v>
      </c>
      <c r="T270" s="263" t="s">
        <v>200</v>
      </c>
      <c r="U270" s="263" t="s">
        <v>200</v>
      </c>
      <c r="V270" s="263" t="s">
        <v>200</v>
      </c>
      <c r="W270" s="263" t="s">
        <v>200</v>
      </c>
      <c r="X270" s="263" t="s">
        <v>200</v>
      </c>
      <c r="Y270" s="263" t="s">
        <v>200</v>
      </c>
      <c r="Z270" s="263" t="s">
        <v>200</v>
      </c>
      <c r="AA270" s="263" t="s">
        <v>200</v>
      </c>
      <c r="AB270" s="263" t="s">
        <v>200</v>
      </c>
      <c r="AC270" s="263" t="s">
        <v>200</v>
      </c>
      <c r="AD270" s="263" t="s">
        <v>200</v>
      </c>
      <c r="AE270" s="263" t="s">
        <v>675</v>
      </c>
      <c r="AF270" s="248" t="s">
        <v>35</v>
      </c>
      <c r="AG270" s="263" t="s">
        <v>864</v>
      </c>
      <c r="AI270" s="48"/>
      <c r="AJ270" s="48"/>
      <c r="AK270" s="48"/>
      <c r="AL270" s="48"/>
    </row>
    <row r="271" spans="1:38" s="263" customFormat="1">
      <c r="A271" s="263">
        <v>806</v>
      </c>
      <c r="B271" s="263" t="s">
        <v>567</v>
      </c>
      <c r="C271" s="263" t="s">
        <v>200</v>
      </c>
      <c r="D271" s="263" t="s">
        <v>200</v>
      </c>
      <c r="E271" s="260" t="s">
        <v>200</v>
      </c>
      <c r="F271" s="260" t="s">
        <v>200</v>
      </c>
      <c r="G271" s="252" t="s">
        <v>834</v>
      </c>
      <c r="H271" s="263" t="s">
        <v>200</v>
      </c>
      <c r="I271" s="263" t="s">
        <v>801</v>
      </c>
      <c r="J271" s="263">
        <v>1</v>
      </c>
      <c r="K271" s="263" t="s">
        <v>920</v>
      </c>
      <c r="L271" s="263" t="s">
        <v>200</v>
      </c>
      <c r="M271" s="263" t="s">
        <v>919</v>
      </c>
      <c r="V271" s="263" t="s">
        <v>200</v>
      </c>
      <c r="W271" s="277">
        <v>200</v>
      </c>
      <c r="X271" s="265">
        <v>200</v>
      </c>
      <c r="Y271" s="265">
        <v>4</v>
      </c>
      <c r="AI271" s="48"/>
      <c r="AJ271" s="48"/>
      <c r="AK271" s="48"/>
      <c r="AL271" s="48"/>
    </row>
    <row r="272" spans="1:38" s="263" customFormat="1">
      <c r="A272" s="263">
        <v>802</v>
      </c>
      <c r="B272" s="263" t="s">
        <v>567</v>
      </c>
      <c r="C272" s="263" t="s">
        <v>200</v>
      </c>
      <c r="D272" s="263" t="s">
        <v>200</v>
      </c>
      <c r="E272" s="260" t="s">
        <v>200</v>
      </c>
      <c r="F272" s="260" t="s">
        <v>200</v>
      </c>
      <c r="G272" s="252" t="s">
        <v>834</v>
      </c>
      <c r="H272" s="263" t="s">
        <v>200</v>
      </c>
      <c r="I272" s="263" t="s">
        <v>801</v>
      </c>
      <c r="J272" s="263">
        <v>1</v>
      </c>
      <c r="K272" s="263" t="s">
        <v>151</v>
      </c>
      <c r="L272" s="263" t="s">
        <v>200</v>
      </c>
      <c r="M272" s="263" t="s">
        <v>905</v>
      </c>
      <c r="N272" s="263" t="s">
        <v>913</v>
      </c>
      <c r="V272" s="263" t="s">
        <v>200</v>
      </c>
      <c r="W272" s="277">
        <v>100</v>
      </c>
      <c r="X272" s="265">
        <v>100</v>
      </c>
      <c r="Y272" s="265">
        <v>2</v>
      </c>
      <c r="AE272" s="263" t="s">
        <v>675</v>
      </c>
      <c r="AF272" s="263" t="s">
        <v>35</v>
      </c>
      <c r="AG272" s="263" t="s">
        <v>918</v>
      </c>
      <c r="AI272" s="48"/>
      <c r="AJ272" s="48"/>
      <c r="AK272" s="48"/>
      <c r="AL272" s="48"/>
    </row>
    <row r="273" spans="1:38" s="263" customFormat="1">
      <c r="A273" s="263">
        <v>820</v>
      </c>
      <c r="B273" s="263" t="s">
        <v>567</v>
      </c>
      <c r="C273" s="263" t="s">
        <v>200</v>
      </c>
      <c r="D273" s="263" t="s">
        <v>200</v>
      </c>
      <c r="E273" s="260" t="s">
        <v>200</v>
      </c>
      <c r="F273" s="260" t="s">
        <v>200</v>
      </c>
      <c r="G273" s="252" t="s">
        <v>834</v>
      </c>
      <c r="H273" s="263" t="s">
        <v>200</v>
      </c>
      <c r="I273" s="263" t="s">
        <v>801</v>
      </c>
      <c r="J273" s="263">
        <v>1</v>
      </c>
      <c r="K273" s="263" t="s">
        <v>151</v>
      </c>
      <c r="L273" s="263" t="s">
        <v>200</v>
      </c>
      <c r="M273" s="263" t="s">
        <v>911</v>
      </c>
      <c r="N273" s="263" t="s">
        <v>910</v>
      </c>
      <c r="V273" s="263" t="s">
        <v>200</v>
      </c>
      <c r="W273" s="264">
        <v>150</v>
      </c>
      <c r="X273" s="265">
        <v>150</v>
      </c>
      <c r="Y273" s="265">
        <v>3</v>
      </c>
      <c r="AE273" s="263">
        <v>220916</v>
      </c>
      <c r="AF273" s="263" t="s">
        <v>35</v>
      </c>
      <c r="AG273" s="263" t="s">
        <v>912</v>
      </c>
      <c r="AI273" s="48"/>
      <c r="AJ273" s="48"/>
      <c r="AK273" s="48"/>
      <c r="AL273" s="48"/>
    </row>
    <row r="274" spans="1:38" s="263" customFormat="1">
      <c r="A274" s="263">
        <v>809</v>
      </c>
      <c r="B274" s="263" t="s">
        <v>567</v>
      </c>
      <c r="C274" s="263" t="s">
        <v>200</v>
      </c>
      <c r="D274" s="263" t="s">
        <v>200</v>
      </c>
      <c r="E274" s="260" t="s">
        <v>200</v>
      </c>
      <c r="F274" s="260" t="s">
        <v>200</v>
      </c>
      <c r="G274" s="252" t="s">
        <v>834</v>
      </c>
      <c r="H274" s="263" t="s">
        <v>200</v>
      </c>
      <c r="I274" s="263" t="s">
        <v>801</v>
      </c>
      <c r="J274" s="263">
        <v>1</v>
      </c>
      <c r="K274" s="263" t="s">
        <v>151</v>
      </c>
      <c r="L274" s="263" t="s">
        <v>200</v>
      </c>
      <c r="M274" s="263" t="s">
        <v>905</v>
      </c>
      <c r="N274" s="263" t="s">
        <v>904</v>
      </c>
      <c r="V274" s="263" t="s">
        <v>200</v>
      </c>
      <c r="W274" s="264">
        <v>150</v>
      </c>
      <c r="X274" s="265">
        <v>150</v>
      </c>
      <c r="Y274" s="265">
        <v>3</v>
      </c>
      <c r="AE274" s="263">
        <v>190619</v>
      </c>
      <c r="AF274" s="263" t="s">
        <v>35</v>
      </c>
      <c r="AG274" s="263" t="s">
        <v>909</v>
      </c>
      <c r="AI274" s="48"/>
      <c r="AJ274" s="48"/>
      <c r="AK274" s="48"/>
      <c r="AL274" s="48"/>
    </row>
    <row r="275" spans="1:38" s="263" customFormat="1">
      <c r="A275" s="263">
        <v>813</v>
      </c>
      <c r="B275" s="263" t="s">
        <v>567</v>
      </c>
      <c r="C275" s="263" t="s">
        <v>200</v>
      </c>
      <c r="D275" s="263" t="s">
        <v>200</v>
      </c>
      <c r="E275" s="260" t="s">
        <v>200</v>
      </c>
      <c r="F275" s="260" t="s">
        <v>200</v>
      </c>
      <c r="G275" s="252" t="s">
        <v>834</v>
      </c>
      <c r="H275" s="263" t="s">
        <v>200</v>
      </c>
      <c r="I275" s="263" t="s">
        <v>801</v>
      </c>
      <c r="J275" s="263">
        <v>1</v>
      </c>
      <c r="K275" s="263" t="s">
        <v>63</v>
      </c>
      <c r="L275" s="263" t="s">
        <v>200</v>
      </c>
      <c r="M275" s="263" t="s">
        <v>895</v>
      </c>
      <c r="N275" s="263" t="s">
        <v>894</v>
      </c>
      <c r="V275" s="263" t="s">
        <v>200</v>
      </c>
      <c r="W275" s="277">
        <v>100</v>
      </c>
      <c r="X275" s="265">
        <v>100</v>
      </c>
      <c r="Y275" s="265">
        <v>2</v>
      </c>
      <c r="AE275" s="263">
        <v>221010</v>
      </c>
      <c r="AF275" s="263" t="s">
        <v>35</v>
      </c>
      <c r="AG275" s="263" t="s">
        <v>807</v>
      </c>
      <c r="AI275" s="48"/>
      <c r="AJ275" s="48"/>
      <c r="AK275" s="48"/>
      <c r="AL275" s="48"/>
    </row>
    <row r="276" spans="1:38" s="263" customFormat="1">
      <c r="A276" s="263">
        <v>810</v>
      </c>
      <c r="B276" s="263" t="s">
        <v>567</v>
      </c>
      <c r="C276" s="263" t="s">
        <v>200</v>
      </c>
      <c r="D276" s="263" t="s">
        <v>200</v>
      </c>
      <c r="E276" s="260" t="s">
        <v>200</v>
      </c>
      <c r="F276" s="260" t="s">
        <v>200</v>
      </c>
      <c r="G276" s="252" t="s">
        <v>834</v>
      </c>
      <c r="H276" s="263" t="s">
        <v>200</v>
      </c>
      <c r="I276" s="263" t="s">
        <v>801</v>
      </c>
      <c r="J276" s="263">
        <v>1</v>
      </c>
      <c r="K276" s="263" t="s">
        <v>151</v>
      </c>
      <c r="L276" s="263" t="s">
        <v>200</v>
      </c>
      <c r="M276" s="263" t="s">
        <v>922</v>
      </c>
      <c r="N276" s="263" t="s">
        <v>923</v>
      </c>
      <c r="V276" s="263" t="s">
        <v>200</v>
      </c>
      <c r="W276" s="264">
        <v>150</v>
      </c>
      <c r="X276" s="265">
        <f t="shared" ref="X276:X285" si="31">W276*J276</f>
        <v>150</v>
      </c>
      <c r="Y276" s="265">
        <f t="shared" ref="Y276:Y285" si="32">X276/50</f>
        <v>3</v>
      </c>
      <c r="AE276" s="263">
        <v>221216</v>
      </c>
      <c r="AF276" s="263" t="s">
        <v>35</v>
      </c>
      <c r="AG276" s="263" t="s">
        <v>274</v>
      </c>
      <c r="AI276" s="48"/>
      <c r="AJ276" s="48"/>
      <c r="AK276" s="48"/>
      <c r="AL276" s="48"/>
    </row>
    <row r="277" spans="1:38" s="263" customFormat="1">
      <c r="A277" s="263">
        <v>811</v>
      </c>
      <c r="B277" s="263" t="s">
        <v>567</v>
      </c>
      <c r="C277" s="263" t="s">
        <v>200</v>
      </c>
      <c r="D277" s="263" t="s">
        <v>200</v>
      </c>
      <c r="E277" s="260" t="s">
        <v>200</v>
      </c>
      <c r="F277" s="260" t="s">
        <v>200</v>
      </c>
      <c r="G277" s="252" t="s">
        <v>834</v>
      </c>
      <c r="H277" s="263" t="s">
        <v>200</v>
      </c>
      <c r="I277" s="263" t="s">
        <v>801</v>
      </c>
      <c r="J277" s="263">
        <v>1</v>
      </c>
      <c r="K277" s="263" t="s">
        <v>33</v>
      </c>
      <c r="L277" s="263" t="s">
        <v>200</v>
      </c>
      <c r="M277" s="263" t="s">
        <v>924</v>
      </c>
      <c r="N277" s="263" t="s">
        <v>925</v>
      </c>
      <c r="V277" s="263" t="s">
        <v>200</v>
      </c>
      <c r="W277" s="264">
        <v>150</v>
      </c>
      <c r="X277" s="265">
        <f t="shared" si="31"/>
        <v>150</v>
      </c>
      <c r="Y277" s="265">
        <f t="shared" si="32"/>
        <v>3</v>
      </c>
      <c r="AE277" s="263" t="s">
        <v>675</v>
      </c>
      <c r="AF277" s="263" t="s">
        <v>35</v>
      </c>
      <c r="AG277" s="263" t="s">
        <v>864</v>
      </c>
      <c r="AI277" s="48"/>
      <c r="AJ277" s="48"/>
      <c r="AK277" s="48"/>
      <c r="AL277" s="48"/>
    </row>
    <row r="278" spans="1:38" s="263" customFormat="1">
      <c r="A278" s="263">
        <v>812</v>
      </c>
      <c r="B278" s="263" t="s">
        <v>567</v>
      </c>
      <c r="C278" s="263" t="s">
        <v>200</v>
      </c>
      <c r="D278" s="263" t="s">
        <v>200</v>
      </c>
      <c r="E278" s="260" t="s">
        <v>200</v>
      </c>
      <c r="F278" s="260" t="s">
        <v>200</v>
      </c>
      <c r="G278" s="252" t="s">
        <v>834</v>
      </c>
      <c r="H278" s="263" t="s">
        <v>200</v>
      </c>
      <c r="I278" s="263" t="s">
        <v>801</v>
      </c>
      <c r="J278" s="263">
        <v>1</v>
      </c>
      <c r="K278" s="263" t="s">
        <v>151</v>
      </c>
      <c r="L278" s="263" t="s">
        <v>200</v>
      </c>
      <c r="M278" s="263" t="s">
        <v>905</v>
      </c>
      <c r="V278" s="263" t="s">
        <v>200</v>
      </c>
      <c r="W278" s="264">
        <v>150</v>
      </c>
      <c r="X278" s="265">
        <f t="shared" si="31"/>
        <v>150</v>
      </c>
      <c r="Y278" s="265">
        <f t="shared" si="32"/>
        <v>3</v>
      </c>
      <c r="AE278" s="263" t="s">
        <v>675</v>
      </c>
      <c r="AF278" s="263" t="s">
        <v>35</v>
      </c>
      <c r="AG278" s="263" t="s">
        <v>864</v>
      </c>
      <c r="AI278" s="48"/>
      <c r="AJ278" s="48"/>
      <c r="AK278" s="48"/>
      <c r="AL278" s="48"/>
    </row>
    <row r="279" spans="1:38" s="263" customFormat="1">
      <c r="A279" s="263">
        <v>814</v>
      </c>
      <c r="B279" s="263" t="s">
        <v>567</v>
      </c>
      <c r="C279" s="263" t="s">
        <v>200</v>
      </c>
      <c r="D279" s="263" t="s">
        <v>200</v>
      </c>
      <c r="E279" s="260" t="s">
        <v>200</v>
      </c>
      <c r="F279" s="260" t="s">
        <v>200</v>
      </c>
      <c r="G279" s="252" t="s">
        <v>834</v>
      </c>
      <c r="H279" s="263" t="s">
        <v>200</v>
      </c>
      <c r="I279" s="263" t="s">
        <v>801</v>
      </c>
      <c r="J279" s="263">
        <v>1</v>
      </c>
      <c r="K279" s="263" t="s">
        <v>151</v>
      </c>
      <c r="L279" s="263" t="s">
        <v>200</v>
      </c>
      <c r="M279" s="263" t="s">
        <v>922</v>
      </c>
      <c r="N279" s="263" t="s">
        <v>926</v>
      </c>
      <c r="V279" s="263" t="s">
        <v>200</v>
      </c>
      <c r="W279" s="264">
        <v>150</v>
      </c>
      <c r="X279" s="265">
        <f t="shared" si="31"/>
        <v>150</v>
      </c>
      <c r="Y279" s="265">
        <f t="shared" si="32"/>
        <v>3</v>
      </c>
      <c r="AE279" s="263" t="s">
        <v>675</v>
      </c>
      <c r="AF279" s="263" t="s">
        <v>35</v>
      </c>
      <c r="AG279" s="263" t="s">
        <v>864</v>
      </c>
      <c r="AI279" s="48"/>
      <c r="AJ279" s="48"/>
      <c r="AK279" s="48"/>
      <c r="AL279" s="48"/>
    </row>
    <row r="280" spans="1:38" s="263" customFormat="1">
      <c r="A280" s="263">
        <v>817</v>
      </c>
      <c r="B280" s="263" t="s">
        <v>567</v>
      </c>
      <c r="C280" s="263" t="s">
        <v>200</v>
      </c>
      <c r="D280" s="263" t="s">
        <v>200</v>
      </c>
      <c r="E280" s="260" t="s">
        <v>200</v>
      </c>
      <c r="F280" s="260" t="s">
        <v>200</v>
      </c>
      <c r="G280" s="252" t="s">
        <v>834</v>
      </c>
      <c r="H280" s="263" t="s">
        <v>200</v>
      </c>
      <c r="I280" s="263" t="s">
        <v>801</v>
      </c>
      <c r="J280" s="263">
        <v>1</v>
      </c>
      <c r="K280" s="263" t="s">
        <v>927</v>
      </c>
      <c r="L280" s="263" t="s">
        <v>200</v>
      </c>
      <c r="M280" s="263" t="s">
        <v>928</v>
      </c>
      <c r="N280" s="263">
        <v>11795</v>
      </c>
      <c r="V280" s="263" t="s">
        <v>200</v>
      </c>
      <c r="W280" s="264">
        <v>150</v>
      </c>
      <c r="X280" s="265">
        <f t="shared" si="31"/>
        <v>150</v>
      </c>
      <c r="Y280" s="265">
        <f t="shared" si="32"/>
        <v>3</v>
      </c>
      <c r="AE280" s="263" t="s">
        <v>675</v>
      </c>
      <c r="AF280" s="263" t="s">
        <v>35</v>
      </c>
      <c r="AG280" s="263" t="s">
        <v>864</v>
      </c>
      <c r="AI280" s="48"/>
      <c r="AJ280" s="48"/>
      <c r="AK280" s="48"/>
      <c r="AL280" s="48"/>
    </row>
    <row r="281" spans="1:38" s="263" customFormat="1">
      <c r="A281" s="263">
        <v>818</v>
      </c>
      <c r="B281" s="263" t="s">
        <v>567</v>
      </c>
      <c r="C281" s="263" t="s">
        <v>200</v>
      </c>
      <c r="D281" s="263" t="s">
        <v>200</v>
      </c>
      <c r="E281" s="260" t="s">
        <v>200</v>
      </c>
      <c r="F281" s="260" t="s">
        <v>200</v>
      </c>
      <c r="G281" s="252" t="s">
        <v>834</v>
      </c>
      <c r="H281" s="263" t="s">
        <v>200</v>
      </c>
      <c r="I281" s="263" t="s">
        <v>801</v>
      </c>
      <c r="J281" s="263">
        <v>1</v>
      </c>
      <c r="K281" s="263" t="s">
        <v>929</v>
      </c>
      <c r="L281" s="263" t="s">
        <v>200</v>
      </c>
      <c r="M281" s="263" t="s">
        <v>930</v>
      </c>
      <c r="V281" s="263" t="s">
        <v>200</v>
      </c>
      <c r="W281" s="264">
        <v>150</v>
      </c>
      <c r="X281" s="265">
        <f t="shared" si="31"/>
        <v>150</v>
      </c>
      <c r="Y281" s="265">
        <f t="shared" si="32"/>
        <v>3</v>
      </c>
      <c r="AE281" s="263" t="s">
        <v>675</v>
      </c>
      <c r="AF281" s="263" t="s">
        <v>35</v>
      </c>
      <c r="AG281" s="263" t="s">
        <v>864</v>
      </c>
      <c r="AI281" s="48"/>
      <c r="AJ281" s="48"/>
      <c r="AK281" s="48"/>
      <c r="AL281" s="48"/>
    </row>
    <row r="282" spans="1:38" s="263" customFormat="1">
      <c r="A282" s="263">
        <v>821</v>
      </c>
      <c r="B282" s="263" t="s">
        <v>567</v>
      </c>
      <c r="C282" s="263" t="s">
        <v>200</v>
      </c>
      <c r="D282" s="263" t="s">
        <v>200</v>
      </c>
      <c r="E282" s="260" t="s">
        <v>200</v>
      </c>
      <c r="F282" s="260" t="s">
        <v>200</v>
      </c>
      <c r="G282" s="252" t="s">
        <v>834</v>
      </c>
      <c r="H282" s="263" t="s">
        <v>200</v>
      </c>
      <c r="I282" s="263" t="s">
        <v>801</v>
      </c>
      <c r="J282" s="263">
        <v>1</v>
      </c>
      <c r="K282" s="263" t="s">
        <v>151</v>
      </c>
      <c r="L282" s="263" t="s">
        <v>200</v>
      </c>
      <c r="M282" s="263" t="s">
        <v>931</v>
      </c>
      <c r="V282" s="263" t="s">
        <v>200</v>
      </c>
      <c r="W282" s="277">
        <v>100</v>
      </c>
      <c r="X282" s="265">
        <f t="shared" si="31"/>
        <v>100</v>
      </c>
      <c r="Y282" s="265">
        <f t="shared" si="32"/>
        <v>2</v>
      </c>
      <c r="AE282" s="263" t="s">
        <v>675</v>
      </c>
      <c r="AF282" s="263" t="s">
        <v>35</v>
      </c>
      <c r="AG282" s="263" t="s">
        <v>864</v>
      </c>
      <c r="AI282" s="48"/>
      <c r="AJ282" s="48"/>
      <c r="AK282" s="48"/>
      <c r="AL282" s="48"/>
    </row>
    <row r="283" spans="1:38" s="263" customFormat="1">
      <c r="A283" s="263">
        <v>819</v>
      </c>
      <c r="B283" s="263" t="s">
        <v>567</v>
      </c>
      <c r="C283" s="263" t="s">
        <v>200</v>
      </c>
      <c r="D283" s="263" t="s">
        <v>200</v>
      </c>
      <c r="E283" s="260" t="s">
        <v>200</v>
      </c>
      <c r="F283" s="260" t="s">
        <v>200</v>
      </c>
      <c r="G283" s="252" t="s">
        <v>834</v>
      </c>
      <c r="H283" s="263" t="s">
        <v>200</v>
      </c>
      <c r="I283" s="263" t="s">
        <v>801</v>
      </c>
      <c r="J283" s="263">
        <v>1</v>
      </c>
      <c r="K283" s="263" t="s">
        <v>151</v>
      </c>
      <c r="L283" s="263" t="s">
        <v>200</v>
      </c>
      <c r="M283" s="263" t="s">
        <v>933</v>
      </c>
      <c r="V283" s="263" t="s">
        <v>200</v>
      </c>
      <c r="W283" s="264">
        <v>150</v>
      </c>
      <c r="X283" s="265">
        <f t="shared" si="31"/>
        <v>150</v>
      </c>
      <c r="Y283" s="265">
        <f t="shared" si="32"/>
        <v>3</v>
      </c>
      <c r="AE283" s="263">
        <v>200317</v>
      </c>
      <c r="AF283" s="263" t="s">
        <v>35</v>
      </c>
      <c r="AG283" s="263" t="s">
        <v>932</v>
      </c>
      <c r="AI283" s="48"/>
      <c r="AJ283" s="48"/>
      <c r="AK283" s="48"/>
      <c r="AL283" s="48"/>
    </row>
    <row r="284" spans="1:38" s="263" customFormat="1">
      <c r="A284" s="263">
        <v>822</v>
      </c>
      <c r="B284" s="263" t="s">
        <v>567</v>
      </c>
      <c r="C284" s="263" t="s">
        <v>200</v>
      </c>
      <c r="D284" s="263" t="s">
        <v>200</v>
      </c>
      <c r="E284" s="260" t="s">
        <v>200</v>
      </c>
      <c r="F284" s="260" t="s">
        <v>200</v>
      </c>
      <c r="G284" s="252" t="s">
        <v>834</v>
      </c>
      <c r="H284" s="263" t="s">
        <v>200</v>
      </c>
      <c r="I284" s="263" t="s">
        <v>801</v>
      </c>
      <c r="J284" s="263">
        <v>1</v>
      </c>
      <c r="K284" s="263" t="s">
        <v>934</v>
      </c>
      <c r="L284" s="263" t="s">
        <v>200</v>
      </c>
      <c r="M284" s="263" t="s">
        <v>935</v>
      </c>
      <c r="N284" s="263">
        <v>1112607880</v>
      </c>
      <c r="V284" s="263" t="s">
        <v>200</v>
      </c>
      <c r="W284" s="264">
        <v>150</v>
      </c>
      <c r="X284" s="265">
        <f t="shared" si="31"/>
        <v>150</v>
      </c>
      <c r="Y284" s="265">
        <f t="shared" si="32"/>
        <v>3</v>
      </c>
      <c r="AE284" s="263" t="s">
        <v>675</v>
      </c>
      <c r="AF284" s="263" t="s">
        <v>35</v>
      </c>
      <c r="AG284" s="263" t="s">
        <v>864</v>
      </c>
      <c r="AI284" s="48"/>
      <c r="AJ284" s="48"/>
      <c r="AK284" s="48"/>
      <c r="AL284" s="48"/>
    </row>
    <row r="285" spans="1:38" s="263" customFormat="1">
      <c r="A285" s="263">
        <v>823</v>
      </c>
      <c r="B285" s="263" t="s">
        <v>567</v>
      </c>
      <c r="C285" s="263" t="s">
        <v>200</v>
      </c>
      <c r="D285" s="263" t="s">
        <v>200</v>
      </c>
      <c r="E285" s="260" t="s">
        <v>200</v>
      </c>
      <c r="F285" s="260" t="s">
        <v>200</v>
      </c>
      <c r="G285" s="252" t="s">
        <v>834</v>
      </c>
      <c r="H285" s="263" t="s">
        <v>200</v>
      </c>
      <c r="I285" s="263" t="s">
        <v>801</v>
      </c>
      <c r="J285" s="263">
        <v>1</v>
      </c>
      <c r="K285" s="263" t="s">
        <v>604</v>
      </c>
      <c r="L285" s="263" t="s">
        <v>200</v>
      </c>
      <c r="M285" s="263" t="s">
        <v>936</v>
      </c>
      <c r="V285" s="263" t="s">
        <v>200</v>
      </c>
      <c r="W285" s="264">
        <v>150</v>
      </c>
      <c r="X285" s="265">
        <f t="shared" si="31"/>
        <v>150</v>
      </c>
      <c r="Y285" s="265">
        <f t="shared" si="32"/>
        <v>3</v>
      </c>
      <c r="AE285" s="263" t="s">
        <v>675</v>
      </c>
      <c r="AF285" s="263" t="s">
        <v>35</v>
      </c>
      <c r="AG285" s="263" t="s">
        <v>864</v>
      </c>
      <c r="AI285" s="48"/>
      <c r="AJ285" s="48"/>
      <c r="AK285" s="48"/>
      <c r="AL285" s="48"/>
    </row>
    <row r="286" spans="1:38" s="263" customFormat="1">
      <c r="A286" s="275">
        <v>1801</v>
      </c>
      <c r="B286" s="263" t="s">
        <v>1022</v>
      </c>
      <c r="D286" s="263" t="s">
        <v>200</v>
      </c>
      <c r="F286" s="263" t="s">
        <v>200</v>
      </c>
      <c r="G286" s="263" t="s">
        <v>834</v>
      </c>
      <c r="H286" s="263" t="s">
        <v>200</v>
      </c>
      <c r="I286" s="263" t="s">
        <v>801</v>
      </c>
      <c r="J286" s="263">
        <v>1</v>
      </c>
      <c r="K286" s="263" t="s">
        <v>1023</v>
      </c>
      <c r="L286" s="263" t="s">
        <v>1024</v>
      </c>
      <c r="V286" s="263" t="s">
        <v>200</v>
      </c>
      <c r="W286" s="263" t="s">
        <v>200</v>
      </c>
      <c r="X286" s="263" t="s">
        <v>200</v>
      </c>
      <c r="AE286" s="263" t="s">
        <v>675</v>
      </c>
      <c r="AF286" s="263" t="s">
        <v>35</v>
      </c>
      <c r="AG286" s="263" t="s">
        <v>864</v>
      </c>
      <c r="AI286" s="48"/>
      <c r="AJ286" s="48"/>
      <c r="AK286" s="48"/>
      <c r="AL286" s="48"/>
    </row>
    <row r="287" spans="1:38" s="263" customFormat="1">
      <c r="A287" s="275">
        <v>1802</v>
      </c>
      <c r="B287" s="263" t="s">
        <v>1022</v>
      </c>
      <c r="D287" s="263" t="s">
        <v>200</v>
      </c>
      <c r="F287" s="263" t="s">
        <v>200</v>
      </c>
      <c r="G287" s="263" t="s">
        <v>834</v>
      </c>
      <c r="H287" s="263" t="s">
        <v>200</v>
      </c>
      <c r="I287" s="263" t="s">
        <v>801</v>
      </c>
      <c r="J287" s="263">
        <v>1</v>
      </c>
      <c r="K287" s="263" t="s">
        <v>1025</v>
      </c>
      <c r="L287" s="263" t="s">
        <v>1026</v>
      </c>
      <c r="V287" s="263" t="s">
        <v>200</v>
      </c>
      <c r="W287" s="263" t="s">
        <v>200</v>
      </c>
      <c r="X287" s="263" t="s">
        <v>200</v>
      </c>
      <c r="AE287" s="263" t="s">
        <v>675</v>
      </c>
      <c r="AF287" s="263" t="s">
        <v>35</v>
      </c>
      <c r="AG287" s="263" t="s">
        <v>864</v>
      </c>
      <c r="AI287" s="48"/>
      <c r="AJ287" s="48"/>
      <c r="AK287" s="48"/>
      <c r="AL287" s="48"/>
    </row>
    <row r="288" spans="1:38" s="263" customFormat="1">
      <c r="A288" s="275">
        <v>1800</v>
      </c>
      <c r="B288" s="263" t="s">
        <v>1022</v>
      </c>
      <c r="D288" s="263" t="s">
        <v>200</v>
      </c>
      <c r="F288" s="263" t="s">
        <v>200</v>
      </c>
      <c r="G288" s="263" t="s">
        <v>834</v>
      </c>
      <c r="H288" s="263" t="s">
        <v>200</v>
      </c>
      <c r="I288" s="263" t="s">
        <v>801</v>
      </c>
      <c r="J288" s="263">
        <v>1</v>
      </c>
      <c r="K288" s="263" t="s">
        <v>1027</v>
      </c>
      <c r="L288" s="263" t="s">
        <v>1028</v>
      </c>
      <c r="V288" s="263" t="s">
        <v>200</v>
      </c>
      <c r="W288" s="263" t="s">
        <v>200</v>
      </c>
      <c r="X288" s="263" t="s">
        <v>200</v>
      </c>
      <c r="AE288" s="263" t="s">
        <v>675</v>
      </c>
      <c r="AF288" s="263" t="s">
        <v>35</v>
      </c>
      <c r="AG288" s="263" t="s">
        <v>1029</v>
      </c>
      <c r="AI288" s="48"/>
      <c r="AJ288" s="48"/>
      <c r="AK288" s="48"/>
      <c r="AL288" s="48"/>
    </row>
    <row r="289" spans="1:38" s="48" customFormat="1">
      <c r="A289" s="236">
        <v>107</v>
      </c>
      <c r="B289" s="237" t="s">
        <v>110</v>
      </c>
      <c r="C289" s="237" t="s">
        <v>200</v>
      </c>
      <c r="D289" s="237" t="s">
        <v>200</v>
      </c>
      <c r="E289" s="237" t="s">
        <v>200</v>
      </c>
      <c r="F289" s="237" t="s">
        <v>200</v>
      </c>
      <c r="G289" s="252" t="s">
        <v>834</v>
      </c>
      <c r="H289" s="238" t="s">
        <v>200</v>
      </c>
      <c r="I289" s="237" t="s">
        <v>801</v>
      </c>
      <c r="J289" s="237">
        <v>1</v>
      </c>
      <c r="K289" s="237" t="s">
        <v>251</v>
      </c>
      <c r="L289" s="238" t="s">
        <v>200</v>
      </c>
      <c r="M289" s="237" t="s">
        <v>707</v>
      </c>
      <c r="N289" s="237" t="s">
        <v>708</v>
      </c>
      <c r="O289" s="237" t="s">
        <v>709</v>
      </c>
      <c r="P289" s="237" t="s">
        <v>710</v>
      </c>
      <c r="Q289" s="237" t="s">
        <v>711</v>
      </c>
      <c r="R289" s="237" t="s">
        <v>712</v>
      </c>
      <c r="S289" s="237" t="s">
        <v>713</v>
      </c>
      <c r="T289" s="237" t="s">
        <v>714</v>
      </c>
      <c r="U289" s="237" t="s">
        <v>407</v>
      </c>
      <c r="V289" s="237" t="s">
        <v>200</v>
      </c>
      <c r="W289" s="239">
        <v>18000</v>
      </c>
      <c r="X289" s="240">
        <f t="shared" ref="X289:X295" si="33">W289*J289</f>
        <v>18000</v>
      </c>
      <c r="Y289" s="240">
        <f t="shared" ref="Y289:Y295" si="34">X289/50</f>
        <v>360</v>
      </c>
      <c r="Z289" s="237"/>
      <c r="AA289" s="241"/>
      <c r="AB289" s="242"/>
      <c r="AC289" s="238"/>
      <c r="AD289" s="238"/>
      <c r="AE289" s="237">
        <v>221103</v>
      </c>
      <c r="AF289" s="263" t="s">
        <v>35</v>
      </c>
      <c r="AG289" s="237" t="s">
        <v>716</v>
      </c>
      <c r="AH289" s="237">
        <v>221103</v>
      </c>
    </row>
    <row r="290" spans="1:38" s="263" customFormat="1">
      <c r="A290" s="243">
        <v>111</v>
      </c>
      <c r="B290" s="238" t="s">
        <v>110</v>
      </c>
      <c r="C290" s="237" t="s">
        <v>200</v>
      </c>
      <c r="D290" s="237" t="s">
        <v>200</v>
      </c>
      <c r="E290" s="237" t="s">
        <v>200</v>
      </c>
      <c r="F290" s="237" t="s">
        <v>200</v>
      </c>
      <c r="G290" s="252" t="s">
        <v>834</v>
      </c>
      <c r="H290" s="238" t="s">
        <v>200</v>
      </c>
      <c r="I290" s="237" t="s">
        <v>801</v>
      </c>
      <c r="J290" s="238">
        <v>1</v>
      </c>
      <c r="K290" s="238" t="s">
        <v>63</v>
      </c>
      <c r="L290" s="238" t="s">
        <v>200</v>
      </c>
      <c r="M290" s="238" t="s">
        <v>723</v>
      </c>
      <c r="N290" s="238" t="s">
        <v>724</v>
      </c>
      <c r="O290" s="238" t="s">
        <v>709</v>
      </c>
      <c r="P290" s="238" t="s">
        <v>725</v>
      </c>
      <c r="Q290" s="238" t="s">
        <v>244</v>
      </c>
      <c r="R290" s="238" t="s">
        <v>712</v>
      </c>
      <c r="S290" s="238" t="s">
        <v>147</v>
      </c>
      <c r="T290" s="238" t="s">
        <v>714</v>
      </c>
      <c r="U290" s="238" t="s">
        <v>407</v>
      </c>
      <c r="V290" s="237" t="s">
        <v>200</v>
      </c>
      <c r="W290" s="244">
        <v>30000</v>
      </c>
      <c r="X290" s="245">
        <f t="shared" si="33"/>
        <v>30000</v>
      </c>
      <c r="Y290" s="245">
        <f t="shared" si="34"/>
        <v>600</v>
      </c>
      <c r="Z290" s="238"/>
      <c r="AA290" s="246"/>
      <c r="AB290" s="238"/>
      <c r="AC290" s="238"/>
      <c r="AD290" s="238"/>
      <c r="AE290" s="238">
        <v>221015</v>
      </c>
      <c r="AF290" s="263" t="s">
        <v>35</v>
      </c>
      <c r="AG290" s="238" t="s">
        <v>726</v>
      </c>
      <c r="AH290" s="238">
        <v>221015</v>
      </c>
      <c r="AI290" s="48"/>
      <c r="AJ290" s="48"/>
      <c r="AK290" s="48"/>
      <c r="AL290" s="48"/>
    </row>
    <row r="291" spans="1:38" s="263" customFormat="1">
      <c r="A291" s="243">
        <v>112</v>
      </c>
      <c r="B291" s="238" t="s">
        <v>110</v>
      </c>
      <c r="C291" s="237" t="s">
        <v>200</v>
      </c>
      <c r="D291" s="237" t="s">
        <v>200</v>
      </c>
      <c r="E291" s="237" t="s">
        <v>200</v>
      </c>
      <c r="F291" s="237" t="s">
        <v>200</v>
      </c>
      <c r="G291" s="252" t="s">
        <v>834</v>
      </c>
      <c r="H291" s="238" t="s">
        <v>200</v>
      </c>
      <c r="I291" s="237" t="s">
        <v>801</v>
      </c>
      <c r="J291" s="238">
        <v>1</v>
      </c>
      <c r="K291" s="238" t="s">
        <v>727</v>
      </c>
      <c r="L291" s="238" t="s">
        <v>200</v>
      </c>
      <c r="M291" s="238" t="s">
        <v>728</v>
      </c>
      <c r="N291" s="238" t="s">
        <v>729</v>
      </c>
      <c r="O291" s="238" t="s">
        <v>730</v>
      </c>
      <c r="P291" s="238" t="s">
        <v>731</v>
      </c>
      <c r="Q291" s="238" t="s">
        <v>732</v>
      </c>
      <c r="R291" s="238" t="s">
        <v>712</v>
      </c>
      <c r="S291" s="238" t="s">
        <v>117</v>
      </c>
      <c r="T291" s="238" t="s">
        <v>118</v>
      </c>
      <c r="U291" s="238" t="s">
        <v>258</v>
      </c>
      <c r="V291" s="237" t="s">
        <v>200</v>
      </c>
      <c r="W291" s="244">
        <v>15000</v>
      </c>
      <c r="X291" s="245">
        <f t="shared" si="33"/>
        <v>15000</v>
      </c>
      <c r="Y291" s="245">
        <f t="shared" si="34"/>
        <v>300</v>
      </c>
      <c r="Z291" s="238"/>
      <c r="AA291" s="246"/>
      <c r="AB291" s="238"/>
      <c r="AC291" s="238"/>
      <c r="AD291" s="238"/>
      <c r="AE291" s="238">
        <v>221216</v>
      </c>
      <c r="AF291" s="263" t="s">
        <v>35</v>
      </c>
      <c r="AG291" s="238" t="s">
        <v>733</v>
      </c>
      <c r="AH291" s="238">
        <v>221216</v>
      </c>
      <c r="AI291" s="48"/>
      <c r="AJ291" s="48"/>
      <c r="AK291" s="48"/>
      <c r="AL291" s="48"/>
    </row>
    <row r="292" spans="1:38" s="263" customFormat="1">
      <c r="A292" s="243">
        <v>113</v>
      </c>
      <c r="B292" s="238" t="s">
        <v>110</v>
      </c>
      <c r="C292" s="237" t="s">
        <v>200</v>
      </c>
      <c r="D292" s="237" t="s">
        <v>200</v>
      </c>
      <c r="E292" s="237" t="s">
        <v>200</v>
      </c>
      <c r="F292" s="237" t="s">
        <v>200</v>
      </c>
      <c r="G292" s="252" t="s">
        <v>834</v>
      </c>
      <c r="H292" s="238" t="s">
        <v>200</v>
      </c>
      <c r="I292" s="237" t="s">
        <v>801</v>
      </c>
      <c r="J292" s="238">
        <v>1</v>
      </c>
      <c r="K292" s="238" t="s">
        <v>151</v>
      </c>
      <c r="L292" s="238" t="s">
        <v>200</v>
      </c>
      <c r="M292" s="238" t="s">
        <v>734</v>
      </c>
      <c r="N292" s="238" t="s">
        <v>735</v>
      </c>
      <c r="O292" s="238" t="s">
        <v>144</v>
      </c>
      <c r="P292" s="238" t="s">
        <v>736</v>
      </c>
      <c r="Q292" s="238" t="s">
        <v>737</v>
      </c>
      <c r="R292" s="238" t="s">
        <v>712</v>
      </c>
      <c r="S292" s="238" t="s">
        <v>294</v>
      </c>
      <c r="T292" s="238" t="s">
        <v>714</v>
      </c>
      <c r="U292" s="238" t="s">
        <v>738</v>
      </c>
      <c r="V292" s="237" t="s">
        <v>200</v>
      </c>
      <c r="W292" s="244">
        <v>13000</v>
      </c>
      <c r="X292" s="245">
        <f t="shared" si="33"/>
        <v>13000</v>
      </c>
      <c r="Y292" s="245">
        <f t="shared" si="34"/>
        <v>260</v>
      </c>
      <c r="Z292" s="238"/>
      <c r="AA292" s="246"/>
      <c r="AB292" s="238"/>
      <c r="AC292" s="238"/>
      <c r="AD292" s="238"/>
      <c r="AE292" s="238" t="s">
        <v>675</v>
      </c>
      <c r="AF292" s="263" t="s">
        <v>35</v>
      </c>
      <c r="AG292" s="238" t="s">
        <v>739</v>
      </c>
      <c r="AH292" s="238" t="s">
        <v>675</v>
      </c>
      <c r="AI292" s="48"/>
      <c r="AJ292" s="48"/>
      <c r="AK292" s="48"/>
      <c r="AL292" s="48"/>
    </row>
    <row r="293" spans="1:38" s="263" customFormat="1">
      <c r="A293" s="243">
        <v>116</v>
      </c>
      <c r="B293" s="238" t="s">
        <v>110</v>
      </c>
      <c r="C293" s="237" t="s">
        <v>200</v>
      </c>
      <c r="D293" s="237" t="s">
        <v>200</v>
      </c>
      <c r="E293" s="237" t="s">
        <v>200</v>
      </c>
      <c r="F293" s="237" t="s">
        <v>200</v>
      </c>
      <c r="G293" s="252" t="s">
        <v>834</v>
      </c>
      <c r="H293" s="238" t="s">
        <v>200</v>
      </c>
      <c r="I293" s="237" t="s">
        <v>801</v>
      </c>
      <c r="J293" s="238">
        <v>1</v>
      </c>
      <c r="K293" s="238" t="s">
        <v>740</v>
      </c>
      <c r="L293" s="238" t="s">
        <v>200</v>
      </c>
      <c r="M293" s="238" t="s">
        <v>741</v>
      </c>
      <c r="N293" s="238" t="s">
        <v>742</v>
      </c>
      <c r="O293" s="238" t="s">
        <v>249</v>
      </c>
      <c r="P293" s="238" t="s">
        <v>743</v>
      </c>
      <c r="Q293" s="238" t="s">
        <v>744</v>
      </c>
      <c r="R293" s="238" t="s">
        <v>712</v>
      </c>
      <c r="S293" s="238" t="s">
        <v>117</v>
      </c>
      <c r="T293" s="238" t="s">
        <v>73</v>
      </c>
      <c r="U293" s="238" t="s">
        <v>295</v>
      </c>
      <c r="V293" s="237" t="s">
        <v>200</v>
      </c>
      <c r="W293" s="244">
        <v>15000</v>
      </c>
      <c r="X293" s="245">
        <f t="shared" si="33"/>
        <v>15000</v>
      </c>
      <c r="Y293" s="245">
        <f t="shared" si="34"/>
        <v>300</v>
      </c>
      <c r="Z293" s="238"/>
      <c r="AA293" s="246"/>
      <c r="AB293" s="238"/>
      <c r="AC293" s="238"/>
      <c r="AD293" s="238"/>
      <c r="AE293" s="238">
        <v>220108</v>
      </c>
      <c r="AF293" s="263" t="s">
        <v>35</v>
      </c>
      <c r="AG293" s="238" t="s">
        <v>745</v>
      </c>
      <c r="AH293" s="238">
        <v>220108</v>
      </c>
      <c r="AI293" s="48"/>
      <c r="AJ293" s="48"/>
      <c r="AK293" s="48"/>
      <c r="AL293" s="48"/>
    </row>
    <row r="294" spans="1:38" s="263" customFormat="1">
      <c r="A294" s="243">
        <v>114</v>
      </c>
      <c r="B294" s="238" t="s">
        <v>110</v>
      </c>
      <c r="C294" s="237" t="s">
        <v>200</v>
      </c>
      <c r="D294" s="237" t="s">
        <v>200</v>
      </c>
      <c r="E294" s="237" t="s">
        <v>200</v>
      </c>
      <c r="F294" s="237" t="s">
        <v>200</v>
      </c>
      <c r="G294" s="252" t="s">
        <v>834</v>
      </c>
      <c r="H294" s="238" t="s">
        <v>200</v>
      </c>
      <c r="I294" s="237" t="s">
        <v>801</v>
      </c>
      <c r="J294" s="238">
        <v>1</v>
      </c>
      <c r="K294" s="238" t="s">
        <v>63</v>
      </c>
      <c r="L294" s="238" t="s">
        <v>200</v>
      </c>
      <c r="M294" s="238" t="s">
        <v>746</v>
      </c>
      <c r="N294" s="238" t="s">
        <v>747</v>
      </c>
      <c r="O294" s="238" t="s">
        <v>709</v>
      </c>
      <c r="P294" s="238" t="s">
        <v>748</v>
      </c>
      <c r="Q294" s="238" t="s">
        <v>711</v>
      </c>
      <c r="R294" s="238" t="s">
        <v>712</v>
      </c>
      <c r="S294" s="238" t="s">
        <v>294</v>
      </c>
      <c r="T294" s="238" t="s">
        <v>714</v>
      </c>
      <c r="U294" s="238" t="s">
        <v>258</v>
      </c>
      <c r="V294" s="237" t="s">
        <v>200</v>
      </c>
      <c r="W294" s="244">
        <v>6500</v>
      </c>
      <c r="X294" s="245">
        <f t="shared" si="33"/>
        <v>6500</v>
      </c>
      <c r="Y294" s="245">
        <f t="shared" si="34"/>
        <v>130</v>
      </c>
      <c r="Z294" s="238"/>
      <c r="AA294" s="246"/>
      <c r="AB294" s="238"/>
      <c r="AC294" s="238"/>
      <c r="AD294" s="238"/>
      <c r="AE294" s="238" t="s">
        <v>675</v>
      </c>
      <c r="AF294" s="263" t="s">
        <v>35</v>
      </c>
      <c r="AG294" s="238" t="s">
        <v>739</v>
      </c>
      <c r="AH294" s="238" t="s">
        <v>675</v>
      </c>
      <c r="AI294" s="48"/>
      <c r="AJ294" s="48"/>
      <c r="AK294" s="48"/>
      <c r="AL294" s="48"/>
    </row>
    <row r="295" spans="1:38" s="263" customFormat="1">
      <c r="A295" s="243">
        <v>115</v>
      </c>
      <c r="B295" s="237" t="s">
        <v>110</v>
      </c>
      <c r="C295" s="237" t="s">
        <v>200</v>
      </c>
      <c r="D295" s="237" t="s">
        <v>200</v>
      </c>
      <c r="E295" s="237" t="s">
        <v>200</v>
      </c>
      <c r="F295" s="237" t="s">
        <v>200</v>
      </c>
      <c r="G295" s="252" t="s">
        <v>834</v>
      </c>
      <c r="H295" s="238" t="s">
        <v>200</v>
      </c>
      <c r="I295" s="237" t="s">
        <v>801</v>
      </c>
      <c r="J295" s="237">
        <v>1</v>
      </c>
      <c r="K295" s="237" t="s">
        <v>151</v>
      </c>
      <c r="L295" s="238" t="s">
        <v>200</v>
      </c>
      <c r="M295" s="237" t="s">
        <v>749</v>
      </c>
      <c r="N295" s="237" t="s">
        <v>750</v>
      </c>
      <c r="O295" s="237" t="s">
        <v>709</v>
      </c>
      <c r="P295" s="237" t="s">
        <v>751</v>
      </c>
      <c r="Q295" s="237" t="s">
        <v>752</v>
      </c>
      <c r="R295" s="237" t="s">
        <v>753</v>
      </c>
      <c r="S295" s="237" t="s">
        <v>141</v>
      </c>
      <c r="T295" s="237" t="s">
        <v>714</v>
      </c>
      <c r="U295" s="237" t="s">
        <v>754</v>
      </c>
      <c r="V295" s="237" t="s">
        <v>200</v>
      </c>
      <c r="W295" s="239">
        <v>1000</v>
      </c>
      <c r="X295" s="245">
        <f t="shared" si="33"/>
        <v>1000</v>
      </c>
      <c r="Y295" s="245">
        <f t="shared" si="34"/>
        <v>20</v>
      </c>
      <c r="Z295" s="237"/>
      <c r="AA295" s="241"/>
      <c r="AB295" s="237"/>
      <c r="AC295" s="238"/>
      <c r="AD295" s="238"/>
      <c r="AE295" s="238" t="s">
        <v>675</v>
      </c>
      <c r="AF295" s="263" t="s">
        <v>35</v>
      </c>
      <c r="AG295" s="238" t="s">
        <v>755</v>
      </c>
      <c r="AH295" s="238" t="s">
        <v>675</v>
      </c>
      <c r="AI295" s="48"/>
      <c r="AJ295" s="48"/>
      <c r="AK295" s="48"/>
      <c r="AL295" s="48"/>
    </row>
    <row r="296" spans="1:38" s="263" customFormat="1">
      <c r="A296" s="243">
        <v>140</v>
      </c>
      <c r="B296" s="237" t="s">
        <v>110</v>
      </c>
      <c r="C296" s="237" t="s">
        <v>200</v>
      </c>
      <c r="D296" s="237" t="s">
        <v>200</v>
      </c>
      <c r="E296" s="237" t="s">
        <v>200</v>
      </c>
      <c r="F296" s="237" t="s">
        <v>200</v>
      </c>
      <c r="G296" s="252" t="s">
        <v>834</v>
      </c>
      <c r="H296" s="238" t="s">
        <v>200</v>
      </c>
      <c r="I296" s="237" t="s">
        <v>801</v>
      </c>
      <c r="J296" s="237">
        <v>1</v>
      </c>
      <c r="K296" s="237" t="s">
        <v>727</v>
      </c>
      <c r="L296" s="238" t="s">
        <v>200</v>
      </c>
      <c r="M296" s="237" t="s">
        <v>675</v>
      </c>
      <c r="N296" s="237"/>
      <c r="O296" s="237" t="s">
        <v>254</v>
      </c>
      <c r="P296" s="237" t="s">
        <v>756</v>
      </c>
      <c r="Q296" s="237" t="s">
        <v>757</v>
      </c>
      <c r="R296" s="237" t="s">
        <v>758</v>
      </c>
      <c r="S296" s="237" t="s">
        <v>759</v>
      </c>
      <c r="T296" s="237" t="s">
        <v>73</v>
      </c>
      <c r="U296" s="237" t="s">
        <v>760</v>
      </c>
      <c r="V296" s="237" t="s">
        <v>200</v>
      </c>
      <c r="W296" s="239"/>
      <c r="X296" s="245"/>
      <c r="Y296" s="245"/>
      <c r="Z296" s="237"/>
      <c r="AA296" s="241"/>
      <c r="AB296" s="237"/>
      <c r="AC296" s="238"/>
      <c r="AD296" s="238"/>
      <c r="AE296" s="238">
        <v>220421</v>
      </c>
      <c r="AF296" s="263" t="s">
        <v>35</v>
      </c>
      <c r="AG296" s="238" t="s">
        <v>761</v>
      </c>
      <c r="AH296" s="238">
        <v>220421</v>
      </c>
      <c r="AI296" s="48"/>
      <c r="AJ296" s="48"/>
      <c r="AK296" s="48"/>
      <c r="AL296" s="48"/>
    </row>
    <row r="297" spans="1:38" s="263" customFormat="1">
      <c r="A297" s="236">
        <v>106</v>
      </c>
      <c r="B297" s="237" t="s">
        <v>110</v>
      </c>
      <c r="C297" s="237" t="s">
        <v>200</v>
      </c>
      <c r="D297" s="237" t="s">
        <v>200</v>
      </c>
      <c r="E297" s="237" t="s">
        <v>200</v>
      </c>
      <c r="F297" s="237" t="s">
        <v>200</v>
      </c>
      <c r="G297" s="252" t="s">
        <v>834</v>
      </c>
      <c r="H297" s="238" t="s">
        <v>200</v>
      </c>
      <c r="I297" s="237" t="s">
        <v>801</v>
      </c>
      <c r="J297" s="237">
        <v>1</v>
      </c>
      <c r="K297" s="237" t="s">
        <v>63</v>
      </c>
      <c r="L297" s="238" t="s">
        <v>200</v>
      </c>
      <c r="M297" s="237" t="s">
        <v>762</v>
      </c>
      <c r="N297" s="237" t="s">
        <v>763</v>
      </c>
      <c r="O297" s="237" t="s">
        <v>113</v>
      </c>
      <c r="P297" s="237" t="s">
        <v>271</v>
      </c>
      <c r="Q297" s="237" t="s">
        <v>272</v>
      </c>
      <c r="R297" s="237" t="s">
        <v>273</v>
      </c>
      <c r="S297" s="237" t="s">
        <v>147</v>
      </c>
      <c r="T297" s="237" t="s">
        <v>118</v>
      </c>
      <c r="U297" s="237" t="s">
        <v>258</v>
      </c>
      <c r="V297" s="237" t="s">
        <v>200</v>
      </c>
      <c r="W297" s="240"/>
      <c r="X297" s="240"/>
      <c r="Y297" s="240"/>
      <c r="Z297" s="237"/>
      <c r="AA297" s="237"/>
      <c r="AB297" s="237"/>
      <c r="AC297" s="238"/>
      <c r="AD297" s="238"/>
      <c r="AE297" s="237">
        <v>220902</v>
      </c>
      <c r="AF297" s="237" t="s">
        <v>360</v>
      </c>
      <c r="AG297" s="237" t="s">
        <v>764</v>
      </c>
      <c r="AH297" s="237"/>
      <c r="AI297" s="48"/>
      <c r="AJ297" s="48"/>
      <c r="AK297" s="48"/>
      <c r="AL297" s="48"/>
    </row>
    <row r="298" spans="1:38" s="263" customFormat="1">
      <c r="A298" s="236">
        <v>110</v>
      </c>
      <c r="B298" s="237" t="s">
        <v>110</v>
      </c>
      <c r="C298" s="237" t="s">
        <v>200</v>
      </c>
      <c r="D298" s="237" t="s">
        <v>200</v>
      </c>
      <c r="E298" s="237" t="s">
        <v>200</v>
      </c>
      <c r="F298" s="237" t="s">
        <v>200</v>
      </c>
      <c r="G298" s="252" t="s">
        <v>834</v>
      </c>
      <c r="H298" s="238" t="s">
        <v>200</v>
      </c>
      <c r="I298" s="237" t="s">
        <v>801</v>
      </c>
      <c r="J298" s="237">
        <v>1</v>
      </c>
      <c r="K298" s="237" t="s">
        <v>112</v>
      </c>
      <c r="L298" s="238" t="s">
        <v>200</v>
      </c>
      <c r="M298" s="237" t="s">
        <v>765</v>
      </c>
      <c r="N298" s="237" t="s">
        <v>766</v>
      </c>
      <c r="O298" s="237" t="s">
        <v>113</v>
      </c>
      <c r="P298" s="237" t="s">
        <v>243</v>
      </c>
      <c r="Q298" s="237" t="s">
        <v>244</v>
      </c>
      <c r="R298" s="237" t="s">
        <v>712</v>
      </c>
      <c r="S298" s="237" t="s">
        <v>117</v>
      </c>
      <c r="T298" s="237" t="s">
        <v>118</v>
      </c>
      <c r="U298" s="237" t="s">
        <v>119</v>
      </c>
      <c r="V298" s="237" t="s">
        <v>200</v>
      </c>
      <c r="W298" s="239">
        <v>22500</v>
      </c>
      <c r="X298" s="240">
        <v>22500</v>
      </c>
      <c r="Y298" s="240">
        <v>450</v>
      </c>
      <c r="Z298" s="237"/>
      <c r="AA298" s="241"/>
      <c r="AB298" s="237"/>
      <c r="AC298" s="238"/>
      <c r="AD298" s="238"/>
      <c r="AE298" s="237">
        <v>220425</v>
      </c>
      <c r="AF298" s="237" t="s">
        <v>35</v>
      </c>
      <c r="AG298" s="237" t="s">
        <v>767</v>
      </c>
      <c r="AH298" s="237"/>
      <c r="AI298" s="48"/>
      <c r="AJ298" s="48"/>
      <c r="AK298" s="48"/>
      <c r="AL298" s="48"/>
    </row>
    <row r="299" spans="1:38">
      <c r="A299" s="236">
        <v>104</v>
      </c>
      <c r="B299" s="237" t="s">
        <v>110</v>
      </c>
      <c r="C299" s="237" t="s">
        <v>200</v>
      </c>
      <c r="D299" s="237" t="s">
        <v>200</v>
      </c>
      <c r="E299" s="237" t="s">
        <v>200</v>
      </c>
      <c r="F299" s="237" t="s">
        <v>200</v>
      </c>
      <c r="G299" s="252" t="s">
        <v>834</v>
      </c>
      <c r="H299" s="238" t="s">
        <v>200</v>
      </c>
      <c r="I299" s="237" t="s">
        <v>801</v>
      </c>
      <c r="J299" s="237">
        <v>1</v>
      </c>
      <c r="K299" s="237" t="s">
        <v>112</v>
      </c>
      <c r="L299" s="238" t="s">
        <v>200</v>
      </c>
      <c r="M299" s="237" t="s">
        <v>241</v>
      </c>
      <c r="N299" s="236" t="s">
        <v>766</v>
      </c>
      <c r="O299" s="237" t="s">
        <v>113</v>
      </c>
      <c r="P299" s="237" t="s">
        <v>243</v>
      </c>
      <c r="Q299" s="237" t="s">
        <v>244</v>
      </c>
      <c r="R299" s="237" t="s">
        <v>712</v>
      </c>
      <c r="S299" s="237" t="s">
        <v>117</v>
      </c>
      <c r="T299" s="237" t="s">
        <v>118</v>
      </c>
      <c r="U299" s="237" t="s">
        <v>119</v>
      </c>
      <c r="V299" s="237" t="s">
        <v>200</v>
      </c>
      <c r="W299" s="239">
        <v>22500</v>
      </c>
      <c r="X299" s="240">
        <v>22500</v>
      </c>
      <c r="Y299" s="240">
        <v>450</v>
      </c>
      <c r="Z299" s="237"/>
      <c r="AA299" s="241"/>
      <c r="AB299" s="237"/>
      <c r="AC299" s="238"/>
      <c r="AD299" s="238"/>
      <c r="AE299" s="237">
        <v>191218</v>
      </c>
      <c r="AF299" s="237" t="s">
        <v>35</v>
      </c>
      <c r="AG299" s="237" t="s">
        <v>768</v>
      </c>
      <c r="AH299" s="237"/>
    </row>
    <row r="300" spans="1:38" s="263" customFormat="1">
      <c r="A300" s="236">
        <v>105</v>
      </c>
      <c r="B300" s="237" t="s">
        <v>110</v>
      </c>
      <c r="C300" s="237" t="s">
        <v>200</v>
      </c>
      <c r="D300" s="237" t="s">
        <v>200</v>
      </c>
      <c r="E300" s="237" t="s">
        <v>200</v>
      </c>
      <c r="F300" s="237" t="s">
        <v>200</v>
      </c>
      <c r="G300" s="252" t="s">
        <v>834</v>
      </c>
      <c r="H300" s="238" t="s">
        <v>200</v>
      </c>
      <c r="I300" s="237" t="s">
        <v>801</v>
      </c>
      <c r="J300" s="237">
        <v>1</v>
      </c>
      <c r="K300" s="237" t="s">
        <v>63</v>
      </c>
      <c r="L300" s="238" t="s">
        <v>200</v>
      </c>
      <c r="M300" s="237" t="s">
        <v>269</v>
      </c>
      <c r="N300" s="237" t="s">
        <v>270</v>
      </c>
      <c r="O300" s="237" t="s">
        <v>113</v>
      </c>
      <c r="P300" s="237" t="s">
        <v>271</v>
      </c>
      <c r="Q300" s="237" t="s">
        <v>272</v>
      </c>
      <c r="R300" s="237" t="s">
        <v>273</v>
      </c>
      <c r="S300" s="237" t="s">
        <v>147</v>
      </c>
      <c r="T300" s="237" t="s">
        <v>118</v>
      </c>
      <c r="U300" s="237" t="s">
        <v>258</v>
      </c>
      <c r="V300" s="237" t="s">
        <v>200</v>
      </c>
      <c r="W300" s="240"/>
      <c r="X300" s="240"/>
      <c r="Y300" s="240"/>
      <c r="Z300" s="237"/>
      <c r="AA300" s="237"/>
      <c r="AB300" s="237"/>
      <c r="AC300" s="238"/>
      <c r="AD300" s="238"/>
      <c r="AE300" s="237">
        <v>220903</v>
      </c>
      <c r="AF300" s="237" t="s">
        <v>35</v>
      </c>
      <c r="AG300" s="237" t="s">
        <v>788</v>
      </c>
      <c r="AH300" s="238"/>
      <c r="AI300" s="48"/>
      <c r="AJ300" s="48"/>
      <c r="AK300" s="48"/>
      <c r="AL300" s="48"/>
    </row>
    <row r="301" spans="1:38" s="263" customFormat="1">
      <c r="A301" s="247">
        <v>109</v>
      </c>
      <c r="B301" s="248" t="s">
        <v>110</v>
      </c>
      <c r="C301" s="237" t="s">
        <v>200</v>
      </c>
      <c r="D301" s="237" t="s">
        <v>200</v>
      </c>
      <c r="E301" s="237" t="s">
        <v>200</v>
      </c>
      <c r="F301" s="237" t="s">
        <v>200</v>
      </c>
      <c r="G301" s="252" t="s">
        <v>834</v>
      </c>
      <c r="H301" s="238" t="s">
        <v>200</v>
      </c>
      <c r="I301" s="237" t="s">
        <v>801</v>
      </c>
      <c r="J301" s="248">
        <v>1</v>
      </c>
      <c r="K301" s="248" t="s">
        <v>251</v>
      </c>
      <c r="L301" s="238" t="s">
        <v>200</v>
      </c>
      <c r="M301" s="249" t="s">
        <v>789</v>
      </c>
      <c r="N301" s="248"/>
      <c r="O301" s="248" t="s">
        <v>113</v>
      </c>
      <c r="P301" s="248" t="s">
        <v>790</v>
      </c>
      <c r="Q301" s="248" t="s">
        <v>791</v>
      </c>
      <c r="R301" s="248" t="s">
        <v>273</v>
      </c>
      <c r="S301" s="248" t="s">
        <v>66</v>
      </c>
      <c r="T301" s="248" t="s">
        <v>118</v>
      </c>
      <c r="U301" s="248" t="s">
        <v>295</v>
      </c>
      <c r="V301" s="237" t="s">
        <v>200</v>
      </c>
      <c r="W301" s="250"/>
      <c r="X301" s="250"/>
      <c r="Y301" s="250"/>
      <c r="Z301" s="248"/>
      <c r="AA301" s="248"/>
      <c r="AB301" s="248"/>
      <c r="AC301" s="238"/>
      <c r="AD301" s="238"/>
      <c r="AE301" s="248">
        <v>221114</v>
      </c>
      <c r="AF301" s="237" t="s">
        <v>35</v>
      </c>
      <c r="AG301" s="248" t="s">
        <v>792</v>
      </c>
      <c r="AH301" s="238"/>
      <c r="AI301" s="48"/>
      <c r="AJ301" s="48"/>
      <c r="AK301" s="48"/>
      <c r="AL301" s="48"/>
    </row>
    <row r="302" spans="1:38" s="263" customFormat="1">
      <c r="A302" s="236">
        <v>142</v>
      </c>
      <c r="B302" s="237" t="s">
        <v>110</v>
      </c>
      <c r="C302" s="237" t="s">
        <v>200</v>
      </c>
      <c r="D302" s="237" t="s">
        <v>200</v>
      </c>
      <c r="E302" s="237" t="s">
        <v>200</v>
      </c>
      <c r="F302" s="237" t="s">
        <v>200</v>
      </c>
      <c r="G302" s="252" t="s">
        <v>834</v>
      </c>
      <c r="H302" s="238" t="s">
        <v>200</v>
      </c>
      <c r="I302" s="237" t="s">
        <v>801</v>
      </c>
      <c r="J302" s="237">
        <v>1</v>
      </c>
      <c r="K302" s="237" t="s">
        <v>251</v>
      </c>
      <c r="L302" s="238" t="s">
        <v>200</v>
      </c>
      <c r="M302" s="237" t="s">
        <v>290</v>
      </c>
      <c r="N302" s="237" t="s">
        <v>291</v>
      </c>
      <c r="O302" s="237" t="s">
        <v>254</v>
      </c>
      <c r="P302" s="242" t="s">
        <v>292</v>
      </c>
      <c r="Q302" s="237" t="s">
        <v>293</v>
      </c>
      <c r="R302" s="237" t="s">
        <v>283</v>
      </c>
      <c r="S302" s="237" t="s">
        <v>294</v>
      </c>
      <c r="T302" s="237" t="s">
        <v>73</v>
      </c>
      <c r="U302" s="237" t="s">
        <v>295</v>
      </c>
      <c r="V302" s="237" t="s">
        <v>200</v>
      </c>
      <c r="W302" s="239"/>
      <c r="X302" s="240"/>
      <c r="Y302" s="240"/>
      <c r="Z302" s="237"/>
      <c r="AA302" s="241"/>
      <c r="AB302" s="237"/>
      <c r="AC302" s="238"/>
      <c r="AD302" s="238"/>
      <c r="AE302" s="237">
        <v>221214</v>
      </c>
      <c r="AF302" s="237" t="s">
        <v>360</v>
      </c>
      <c r="AG302" s="237" t="s">
        <v>776</v>
      </c>
      <c r="AH302" s="238"/>
      <c r="AI302" s="48"/>
      <c r="AJ302" s="48"/>
      <c r="AK302" s="48"/>
      <c r="AL302" s="48"/>
    </row>
    <row r="303" spans="1:38" s="263" customFormat="1">
      <c r="A303" s="236">
        <v>143</v>
      </c>
      <c r="B303" s="237" t="s">
        <v>110</v>
      </c>
      <c r="C303" s="237" t="s">
        <v>200</v>
      </c>
      <c r="D303" s="237" t="s">
        <v>200</v>
      </c>
      <c r="E303" s="237" t="s">
        <v>200</v>
      </c>
      <c r="F303" s="237" t="s">
        <v>200</v>
      </c>
      <c r="G303" s="252" t="s">
        <v>834</v>
      </c>
      <c r="H303" s="238" t="s">
        <v>200</v>
      </c>
      <c r="I303" s="237" t="s">
        <v>801</v>
      </c>
      <c r="J303" s="237">
        <v>1</v>
      </c>
      <c r="K303" s="237" t="s">
        <v>251</v>
      </c>
      <c r="L303" s="238" t="s">
        <v>200</v>
      </c>
      <c r="M303" s="237" t="s">
        <v>290</v>
      </c>
      <c r="N303" s="237" t="s">
        <v>660</v>
      </c>
      <c r="O303" s="237" t="s">
        <v>254</v>
      </c>
      <c r="P303" s="242" t="s">
        <v>292</v>
      </c>
      <c r="Q303" s="237" t="s">
        <v>293</v>
      </c>
      <c r="R303" s="237" t="s">
        <v>283</v>
      </c>
      <c r="S303" s="237" t="s">
        <v>294</v>
      </c>
      <c r="T303" s="237" t="s">
        <v>73</v>
      </c>
      <c r="U303" s="237" t="s">
        <v>295</v>
      </c>
      <c r="V303" s="237" t="s">
        <v>200</v>
      </c>
      <c r="W303" s="239"/>
      <c r="X303" s="240"/>
      <c r="Y303" s="240"/>
      <c r="Z303" s="237"/>
      <c r="AA303" s="241"/>
      <c r="AB303" s="237"/>
      <c r="AC303" s="238"/>
      <c r="AD303" s="238"/>
      <c r="AE303" s="237">
        <v>221214</v>
      </c>
      <c r="AF303" s="237" t="s">
        <v>360</v>
      </c>
      <c r="AG303" s="237" t="s">
        <v>776</v>
      </c>
      <c r="AH303" s="238"/>
      <c r="AI303" s="48"/>
      <c r="AJ303" s="48"/>
      <c r="AK303" s="48"/>
      <c r="AL303" s="48"/>
    </row>
    <row r="304" spans="1:38" s="263" customFormat="1">
      <c r="A304" s="236">
        <v>141</v>
      </c>
      <c r="B304" s="237" t="s">
        <v>110</v>
      </c>
      <c r="C304" s="237" t="s">
        <v>200</v>
      </c>
      <c r="D304" s="237" t="s">
        <v>200</v>
      </c>
      <c r="E304" s="237" t="s">
        <v>200</v>
      </c>
      <c r="F304" s="237" t="s">
        <v>200</v>
      </c>
      <c r="G304" s="252" t="s">
        <v>834</v>
      </c>
      <c r="H304" s="238" t="s">
        <v>200</v>
      </c>
      <c r="I304" s="237" t="s">
        <v>801</v>
      </c>
      <c r="J304" s="237">
        <v>1</v>
      </c>
      <c r="K304" s="237" t="s">
        <v>777</v>
      </c>
      <c r="L304" s="238" t="s">
        <v>200</v>
      </c>
      <c r="M304" s="237" t="s">
        <v>778</v>
      </c>
      <c r="N304" s="237"/>
      <c r="O304" s="237" t="s">
        <v>254</v>
      </c>
      <c r="P304" s="237" t="s">
        <v>779</v>
      </c>
      <c r="Q304" s="237" t="s">
        <v>780</v>
      </c>
      <c r="R304" s="237" t="s">
        <v>781</v>
      </c>
      <c r="S304" s="237" t="s">
        <v>147</v>
      </c>
      <c r="T304" s="237" t="s">
        <v>118</v>
      </c>
      <c r="U304" s="237" t="s">
        <v>258</v>
      </c>
      <c r="V304" s="237" t="s">
        <v>200</v>
      </c>
      <c r="W304" s="239"/>
      <c r="X304" s="240"/>
      <c r="Y304" s="240"/>
      <c r="Z304" s="237"/>
      <c r="AA304" s="241"/>
      <c r="AB304" s="237"/>
      <c r="AC304" s="238"/>
      <c r="AD304" s="238"/>
      <c r="AE304" s="237">
        <v>221216</v>
      </c>
      <c r="AF304" s="237" t="s">
        <v>35</v>
      </c>
      <c r="AG304" s="237" t="s">
        <v>783</v>
      </c>
      <c r="AH304" s="238"/>
      <c r="AI304" s="48"/>
      <c r="AJ304" s="48"/>
      <c r="AK304" s="48"/>
      <c r="AL304" s="48"/>
    </row>
    <row r="305" spans="1:38" s="263" customFormat="1">
      <c r="A305" s="236">
        <v>101</v>
      </c>
      <c r="B305" s="237" t="s">
        <v>110</v>
      </c>
      <c r="C305" s="237" t="s">
        <v>200</v>
      </c>
      <c r="D305" s="237" t="s">
        <v>200</v>
      </c>
      <c r="E305" s="237" t="s">
        <v>200</v>
      </c>
      <c r="F305" s="237" t="s">
        <v>200</v>
      </c>
      <c r="G305" s="252" t="s">
        <v>834</v>
      </c>
      <c r="H305" s="238" t="s">
        <v>200</v>
      </c>
      <c r="I305" s="237" t="s">
        <v>801</v>
      </c>
      <c r="J305" s="237">
        <v>1</v>
      </c>
      <c r="K305" s="237" t="s">
        <v>112</v>
      </c>
      <c r="L305" s="238" t="s">
        <v>200</v>
      </c>
      <c r="M305" s="237" t="s">
        <v>784</v>
      </c>
      <c r="N305" s="237" t="s">
        <v>785</v>
      </c>
      <c r="O305" s="237" t="s">
        <v>113</v>
      </c>
      <c r="P305" s="237" t="s">
        <v>114</v>
      </c>
      <c r="Q305" s="237" t="s">
        <v>115</v>
      </c>
      <c r="R305" s="237" t="s">
        <v>786</v>
      </c>
      <c r="S305" s="237" t="s">
        <v>117</v>
      </c>
      <c r="T305" s="237" t="s">
        <v>118</v>
      </c>
      <c r="U305" s="237" t="s">
        <v>119</v>
      </c>
      <c r="V305" s="237" t="s">
        <v>200</v>
      </c>
      <c r="W305" s="239">
        <v>43990</v>
      </c>
      <c r="X305" s="240">
        <f>W305*J305</f>
        <v>43990</v>
      </c>
      <c r="Y305" s="240">
        <f>X305/50</f>
        <v>879.8</v>
      </c>
      <c r="Z305" s="237"/>
      <c r="AA305" s="241"/>
      <c r="AB305" s="237"/>
      <c r="AC305" s="238"/>
      <c r="AD305" s="238"/>
      <c r="AE305" s="237">
        <v>221214</v>
      </c>
      <c r="AF305" s="237" t="s">
        <v>35</v>
      </c>
      <c r="AG305" s="237" t="s">
        <v>787</v>
      </c>
      <c r="AH305" s="238"/>
      <c r="AI305" s="48"/>
      <c r="AJ305" s="48"/>
      <c r="AK305" s="48"/>
      <c r="AL305" s="48"/>
    </row>
    <row r="306" spans="1:38" s="263" customFormat="1">
      <c r="A306" s="236">
        <v>145</v>
      </c>
      <c r="B306" s="237" t="s">
        <v>110</v>
      </c>
      <c r="C306" s="237" t="s">
        <v>200</v>
      </c>
      <c r="D306" s="237" t="s">
        <v>200</v>
      </c>
      <c r="E306" s="237" t="s">
        <v>200</v>
      </c>
      <c r="F306" s="237" t="s">
        <v>200</v>
      </c>
      <c r="G306" s="252" t="s">
        <v>834</v>
      </c>
      <c r="H306" s="238" t="s">
        <v>200</v>
      </c>
      <c r="I306" s="237" t="s">
        <v>801</v>
      </c>
      <c r="J306" s="237">
        <v>1</v>
      </c>
      <c r="K306" s="237" t="s">
        <v>63</v>
      </c>
      <c r="L306" s="238" t="s">
        <v>200</v>
      </c>
      <c r="M306" s="237" t="s">
        <v>773</v>
      </c>
      <c r="N306" s="237" t="s">
        <v>774</v>
      </c>
      <c r="O306" s="237" t="s">
        <v>254</v>
      </c>
      <c r="P306" s="242" t="s">
        <v>299</v>
      </c>
      <c r="Q306" s="237"/>
      <c r="R306" s="237" t="s">
        <v>283</v>
      </c>
      <c r="S306" s="237" t="s">
        <v>131</v>
      </c>
      <c r="T306" s="237" t="s">
        <v>118</v>
      </c>
      <c r="U306" s="237" t="s">
        <v>237</v>
      </c>
      <c r="V306" s="237" t="s">
        <v>200</v>
      </c>
      <c r="W306" s="239"/>
      <c r="X306" s="240"/>
      <c r="Y306" s="240"/>
      <c r="Z306" s="237"/>
      <c r="AA306" s="241"/>
      <c r="AB306" s="237"/>
      <c r="AC306" s="238"/>
      <c r="AD306" s="238"/>
      <c r="AE306" s="237">
        <v>221214</v>
      </c>
      <c r="AF306" s="237" t="s">
        <v>360</v>
      </c>
      <c r="AG306" s="237" t="s">
        <v>776</v>
      </c>
      <c r="AH306" s="238"/>
      <c r="AI306" s="48"/>
      <c r="AJ306" s="48"/>
      <c r="AK306" s="48"/>
      <c r="AL306" s="48"/>
    </row>
    <row r="307" spans="1:38" s="263" customFormat="1">
      <c r="A307" s="236">
        <v>103</v>
      </c>
      <c r="B307" s="237" t="s">
        <v>110</v>
      </c>
      <c r="C307" s="237" t="s">
        <v>200</v>
      </c>
      <c r="D307" s="237" t="s">
        <v>200</v>
      </c>
      <c r="E307" s="237" t="s">
        <v>200</v>
      </c>
      <c r="F307" s="237" t="s">
        <v>200</v>
      </c>
      <c r="G307" s="252" t="s">
        <v>834</v>
      </c>
      <c r="H307" s="238" t="s">
        <v>200</v>
      </c>
      <c r="I307" s="237" t="s">
        <v>801</v>
      </c>
      <c r="J307" s="237">
        <v>1</v>
      </c>
      <c r="K307" s="237" t="s">
        <v>63</v>
      </c>
      <c r="L307" s="238" t="s">
        <v>200</v>
      </c>
      <c r="M307" s="237" t="s">
        <v>723</v>
      </c>
      <c r="N307" s="237" t="s">
        <v>769</v>
      </c>
      <c r="O307" s="237" t="s">
        <v>709</v>
      </c>
      <c r="P307" s="237" t="s">
        <v>770</v>
      </c>
      <c r="Q307" s="237" t="s">
        <v>244</v>
      </c>
      <c r="R307" s="237" t="s">
        <v>712</v>
      </c>
      <c r="S307" s="237" t="s">
        <v>147</v>
      </c>
      <c r="T307" s="237" t="s">
        <v>118</v>
      </c>
      <c r="U307" s="237" t="s">
        <v>771</v>
      </c>
      <c r="V307" s="237" t="s">
        <v>200</v>
      </c>
      <c r="W307" s="239">
        <v>30000</v>
      </c>
      <c r="X307" s="240">
        <f>W307*J307</f>
        <v>30000</v>
      </c>
      <c r="Y307" s="240">
        <f>X307/50</f>
        <v>600</v>
      </c>
      <c r="Z307" s="237"/>
      <c r="AA307" s="241"/>
      <c r="AB307" s="237"/>
      <c r="AC307" s="238"/>
      <c r="AD307" s="238"/>
      <c r="AE307" s="237">
        <v>221114</v>
      </c>
      <c r="AF307" s="237" t="s">
        <v>35</v>
      </c>
      <c r="AG307" s="237" t="s">
        <v>772</v>
      </c>
      <c r="AH307" s="238"/>
      <c r="AI307" s="48"/>
      <c r="AJ307" s="48"/>
      <c r="AK307" s="48"/>
      <c r="AL307" s="48"/>
    </row>
    <row r="308" spans="1:38" s="263" customFormat="1">
      <c r="A308" s="243">
        <v>108</v>
      </c>
      <c r="B308" s="238" t="s">
        <v>717</v>
      </c>
      <c r="C308" s="237" t="s">
        <v>200</v>
      </c>
      <c r="D308" s="237" t="s">
        <v>200</v>
      </c>
      <c r="E308" s="237" t="s">
        <v>200</v>
      </c>
      <c r="F308" s="237" t="s">
        <v>200</v>
      </c>
      <c r="G308" s="252" t="s">
        <v>834</v>
      </c>
      <c r="H308" s="238" t="s">
        <v>200</v>
      </c>
      <c r="I308" s="237" t="s">
        <v>801</v>
      </c>
      <c r="J308" s="238">
        <v>1</v>
      </c>
      <c r="K308" s="238" t="s">
        <v>251</v>
      </c>
      <c r="L308" s="238" t="s">
        <v>200</v>
      </c>
      <c r="M308" s="238" t="s">
        <v>718</v>
      </c>
      <c r="N308" s="238" t="s">
        <v>719</v>
      </c>
      <c r="O308" s="238" t="s">
        <v>709</v>
      </c>
      <c r="P308" s="238" t="s">
        <v>720</v>
      </c>
      <c r="Q308" s="238" t="s">
        <v>711</v>
      </c>
      <c r="R308" s="238" t="s">
        <v>712</v>
      </c>
      <c r="S308" s="238" t="s">
        <v>117</v>
      </c>
      <c r="T308" s="238" t="s">
        <v>118</v>
      </c>
      <c r="U308" s="238" t="s">
        <v>721</v>
      </c>
      <c r="V308" s="237" t="s">
        <v>200</v>
      </c>
      <c r="W308" s="244">
        <v>14000</v>
      </c>
      <c r="X308" s="245">
        <f>W308*J308</f>
        <v>14000</v>
      </c>
      <c r="Y308" s="245">
        <f>X308/50</f>
        <v>280</v>
      </c>
      <c r="Z308" s="238"/>
      <c r="AA308" s="246"/>
      <c r="AB308" s="238"/>
      <c r="AC308" s="238"/>
      <c r="AD308" s="238"/>
      <c r="AE308" s="238">
        <v>221011</v>
      </c>
      <c r="AF308" s="237" t="s">
        <v>35</v>
      </c>
      <c r="AG308" s="238" t="s">
        <v>722</v>
      </c>
      <c r="AH308" s="238">
        <v>221011</v>
      </c>
      <c r="AI308" s="48"/>
      <c r="AJ308" s="48"/>
      <c r="AK308" s="48"/>
      <c r="AL308" s="48"/>
    </row>
    <row r="309" spans="1:38" s="263" customFormat="1">
      <c r="A309" s="275">
        <v>9025</v>
      </c>
      <c r="B309" s="263" t="s">
        <v>1033</v>
      </c>
      <c r="D309" s="263" t="s">
        <v>200</v>
      </c>
      <c r="F309" s="263" t="s">
        <v>200</v>
      </c>
      <c r="G309" s="263" t="s">
        <v>834</v>
      </c>
      <c r="H309" s="263" t="s">
        <v>200</v>
      </c>
      <c r="I309" s="263" t="s">
        <v>801</v>
      </c>
      <c r="J309" s="263">
        <v>1</v>
      </c>
      <c r="K309" s="263" t="s">
        <v>151</v>
      </c>
      <c r="V309" s="263" t="s">
        <v>200</v>
      </c>
      <c r="W309" s="263" t="s">
        <v>200</v>
      </c>
      <c r="X309" s="263" t="s">
        <v>200</v>
      </c>
      <c r="AE309" s="263" t="s">
        <v>675</v>
      </c>
      <c r="AF309" s="237" t="s">
        <v>35</v>
      </c>
      <c r="AG309" s="263" t="s">
        <v>985</v>
      </c>
      <c r="AI309" s="48"/>
      <c r="AJ309" s="48"/>
      <c r="AK309" s="48"/>
      <c r="AL309" s="48"/>
    </row>
    <row r="310" spans="1:38" s="263" customFormat="1">
      <c r="A310" s="275">
        <v>9026</v>
      </c>
      <c r="B310" s="263" t="s">
        <v>1033</v>
      </c>
      <c r="D310" s="263" t="s">
        <v>200</v>
      </c>
      <c r="F310" s="263" t="s">
        <v>200</v>
      </c>
      <c r="G310" s="263" t="s">
        <v>834</v>
      </c>
      <c r="H310" s="263" t="s">
        <v>200</v>
      </c>
      <c r="I310" s="263" t="s">
        <v>801</v>
      </c>
      <c r="J310" s="263">
        <v>1</v>
      </c>
      <c r="K310" s="263" t="s">
        <v>63</v>
      </c>
      <c r="L310" s="263" t="s">
        <v>1034</v>
      </c>
      <c r="V310" s="263" t="s">
        <v>200</v>
      </c>
      <c r="W310" s="263" t="s">
        <v>200</v>
      </c>
      <c r="X310" s="263" t="s">
        <v>200</v>
      </c>
      <c r="AE310" s="263" t="s">
        <v>675</v>
      </c>
      <c r="AF310" s="237" t="s">
        <v>35</v>
      </c>
      <c r="AG310" s="263" t="s">
        <v>985</v>
      </c>
      <c r="AI310" s="48"/>
      <c r="AJ310" s="48"/>
      <c r="AK310" s="48"/>
      <c r="AL310" s="48"/>
    </row>
    <row r="311" spans="1:38" s="263" customFormat="1">
      <c r="A311" s="275">
        <v>9027</v>
      </c>
      <c r="B311" s="263" t="s">
        <v>1033</v>
      </c>
      <c r="D311" s="263" t="s">
        <v>200</v>
      </c>
      <c r="F311" s="263" t="s">
        <v>200</v>
      </c>
      <c r="G311" s="263" t="s">
        <v>834</v>
      </c>
      <c r="H311" s="263" t="s">
        <v>200</v>
      </c>
      <c r="I311" s="263" t="s">
        <v>801</v>
      </c>
      <c r="J311" s="263">
        <v>1</v>
      </c>
      <c r="K311" s="263" t="s">
        <v>251</v>
      </c>
      <c r="L311" s="263" t="s">
        <v>1035</v>
      </c>
      <c r="V311" s="263" t="s">
        <v>200</v>
      </c>
      <c r="W311" s="263" t="s">
        <v>200</v>
      </c>
      <c r="X311" s="263" t="s">
        <v>200</v>
      </c>
      <c r="AE311" s="263" t="s">
        <v>675</v>
      </c>
      <c r="AF311" s="237" t="s">
        <v>35</v>
      </c>
      <c r="AG311" s="263" t="s">
        <v>985</v>
      </c>
      <c r="AI311" s="48"/>
      <c r="AJ311" s="48"/>
      <c r="AK311" s="48"/>
      <c r="AL311" s="48"/>
    </row>
    <row r="312" spans="1:38" s="263" customFormat="1">
      <c r="A312" s="275">
        <v>9028</v>
      </c>
      <c r="B312" s="263" t="s">
        <v>1033</v>
      </c>
      <c r="D312" s="263" t="s">
        <v>200</v>
      </c>
      <c r="F312" s="263" t="s">
        <v>200</v>
      </c>
      <c r="G312" s="263" t="s">
        <v>834</v>
      </c>
      <c r="H312" s="263" t="s">
        <v>200</v>
      </c>
      <c r="I312" s="263" t="s">
        <v>801</v>
      </c>
      <c r="J312" s="263">
        <v>1</v>
      </c>
      <c r="K312" s="263" t="s">
        <v>63</v>
      </c>
      <c r="L312" s="263" t="s">
        <v>1036</v>
      </c>
      <c r="V312" s="263" t="s">
        <v>200</v>
      </c>
      <c r="W312" s="263" t="s">
        <v>200</v>
      </c>
      <c r="X312" s="263" t="s">
        <v>200</v>
      </c>
      <c r="AE312" s="263" t="s">
        <v>675</v>
      </c>
      <c r="AF312" s="237" t="s">
        <v>35</v>
      </c>
      <c r="AG312" s="263" t="s">
        <v>985</v>
      </c>
      <c r="AI312" s="48"/>
      <c r="AJ312" s="48"/>
      <c r="AK312" s="48"/>
      <c r="AL312" s="48"/>
    </row>
    <row r="313" spans="1:38" s="263" customFormat="1">
      <c r="A313" s="275">
        <v>9037</v>
      </c>
      <c r="B313" s="260" t="s">
        <v>1033</v>
      </c>
      <c r="C313" s="260"/>
      <c r="D313" s="263" t="s">
        <v>200</v>
      </c>
      <c r="F313" s="263" t="s">
        <v>200</v>
      </c>
      <c r="G313" s="263" t="s">
        <v>834</v>
      </c>
      <c r="H313" s="263" t="s">
        <v>200</v>
      </c>
      <c r="I313" s="263" t="s">
        <v>801</v>
      </c>
      <c r="J313" s="263">
        <v>1</v>
      </c>
      <c r="K313" s="260" t="s">
        <v>63</v>
      </c>
      <c r="L313" s="260" t="s">
        <v>1037</v>
      </c>
      <c r="M313" s="260"/>
      <c r="N313" s="260"/>
      <c r="O313" s="260"/>
      <c r="P313" s="260"/>
      <c r="Q313" s="260"/>
      <c r="R313" s="260"/>
      <c r="S313" s="260"/>
      <c r="T313" s="260"/>
      <c r="V313" s="263" t="s">
        <v>200</v>
      </c>
      <c r="W313" s="263" t="s">
        <v>200</v>
      </c>
      <c r="X313" s="263" t="s">
        <v>200</v>
      </c>
      <c r="Y313" s="260"/>
      <c r="Z313" s="270"/>
      <c r="AA313" s="260"/>
      <c r="AE313" s="263">
        <v>221003</v>
      </c>
      <c r="AF313" s="237" t="s">
        <v>35</v>
      </c>
      <c r="AG313" s="263" t="s">
        <v>823</v>
      </c>
      <c r="AI313" s="48"/>
      <c r="AJ313" s="48"/>
      <c r="AK313" s="48"/>
      <c r="AL313" s="48"/>
    </row>
    <row r="314" spans="1:38" s="263" customFormat="1">
      <c r="A314" s="237">
        <v>612</v>
      </c>
      <c r="B314" s="260" t="s">
        <v>36</v>
      </c>
      <c r="C314" s="237" t="s">
        <v>200</v>
      </c>
      <c r="D314" s="237" t="s">
        <v>200</v>
      </c>
      <c r="E314" s="237" t="s">
        <v>200</v>
      </c>
      <c r="F314" s="237" t="s">
        <v>200</v>
      </c>
      <c r="G314" s="252" t="s">
        <v>834</v>
      </c>
      <c r="H314" s="238" t="s">
        <v>200</v>
      </c>
      <c r="I314" s="237" t="s">
        <v>801</v>
      </c>
      <c r="J314" s="237">
        <v>1</v>
      </c>
      <c r="K314" s="237" t="s">
        <v>164</v>
      </c>
      <c r="L314" s="238" t="s">
        <v>200</v>
      </c>
      <c r="M314" s="237" t="s">
        <v>835</v>
      </c>
      <c r="N314" s="237"/>
      <c r="O314" s="237" t="s">
        <v>46</v>
      </c>
      <c r="P314" s="237"/>
      <c r="Q314" s="237"/>
      <c r="R314" s="237"/>
      <c r="S314" s="237"/>
      <c r="T314" s="237"/>
      <c r="U314" s="237"/>
      <c r="V314" s="237" t="s">
        <v>200</v>
      </c>
      <c r="W314" s="239">
        <v>3500</v>
      </c>
      <c r="X314" s="240">
        <v>3500</v>
      </c>
      <c r="Y314" s="240">
        <v>70</v>
      </c>
      <c r="Z314" s="237"/>
      <c r="AA314" s="241"/>
      <c r="AB314" s="237"/>
      <c r="AC314" s="238"/>
      <c r="AD314" s="238"/>
      <c r="AE314" s="237">
        <v>191125</v>
      </c>
      <c r="AF314" s="237" t="s">
        <v>35</v>
      </c>
      <c r="AG314" s="237" t="s">
        <v>836</v>
      </c>
      <c r="AH314" s="238"/>
      <c r="AI314" s="48"/>
      <c r="AJ314" s="48"/>
      <c r="AK314" s="48"/>
      <c r="AL314" s="48"/>
    </row>
    <row r="315" spans="1:38" s="263" customFormat="1">
      <c r="A315" s="237">
        <v>600</v>
      </c>
      <c r="B315" s="237" t="s">
        <v>36</v>
      </c>
      <c r="C315" s="237" t="s">
        <v>200</v>
      </c>
      <c r="D315" s="237" t="s">
        <v>200</v>
      </c>
      <c r="E315" s="237" t="s">
        <v>200</v>
      </c>
      <c r="F315" s="237" t="s">
        <v>200</v>
      </c>
      <c r="G315" s="252" t="s">
        <v>834</v>
      </c>
      <c r="H315" s="238" t="s">
        <v>200</v>
      </c>
      <c r="I315" s="237" t="s">
        <v>801</v>
      </c>
      <c r="J315" s="237">
        <v>1</v>
      </c>
      <c r="K315" s="237" t="s">
        <v>151</v>
      </c>
      <c r="L315" s="238" t="s">
        <v>200</v>
      </c>
      <c r="M315" s="237" t="s">
        <v>837</v>
      </c>
      <c r="N315" s="237" t="s">
        <v>838</v>
      </c>
      <c r="O315" s="237" t="s">
        <v>46</v>
      </c>
      <c r="P315" s="237"/>
      <c r="Q315" s="237"/>
      <c r="R315" s="237"/>
      <c r="S315" s="237"/>
      <c r="T315" s="237"/>
      <c r="U315" s="237"/>
      <c r="V315" s="237" t="s">
        <v>200</v>
      </c>
      <c r="W315" s="239">
        <v>3000</v>
      </c>
      <c r="X315" s="240">
        <v>3000</v>
      </c>
      <c r="Y315" s="240">
        <v>60</v>
      </c>
      <c r="Z315" s="237"/>
      <c r="AA315" s="241"/>
      <c r="AB315" s="237"/>
      <c r="AC315" s="238"/>
      <c r="AD315" s="238"/>
      <c r="AE315" s="237" t="s">
        <v>675</v>
      </c>
      <c r="AF315" s="237" t="s">
        <v>35</v>
      </c>
      <c r="AG315" s="237" t="s">
        <v>839</v>
      </c>
      <c r="AH315" s="238"/>
      <c r="AI315" s="48"/>
      <c r="AJ315" s="48"/>
      <c r="AK315" s="48"/>
      <c r="AL315" s="48"/>
    </row>
    <row r="316" spans="1:38" s="229" customFormat="1">
      <c r="A316" s="237">
        <v>628</v>
      </c>
      <c r="B316" s="237" t="s">
        <v>36</v>
      </c>
      <c r="C316" s="237" t="s">
        <v>200</v>
      </c>
      <c r="D316" s="237" t="s">
        <v>200</v>
      </c>
      <c r="E316" s="237" t="s">
        <v>200</v>
      </c>
      <c r="F316" s="237" t="s">
        <v>200</v>
      </c>
      <c r="G316" s="252" t="s">
        <v>834</v>
      </c>
      <c r="H316" s="238" t="s">
        <v>200</v>
      </c>
      <c r="I316" s="237" t="s">
        <v>801</v>
      </c>
      <c r="J316" s="237">
        <v>1</v>
      </c>
      <c r="K316" s="237" t="s">
        <v>164</v>
      </c>
      <c r="L316" s="238" t="s">
        <v>200</v>
      </c>
      <c r="M316" s="237" t="s">
        <v>840</v>
      </c>
      <c r="N316" s="237" t="s">
        <v>841</v>
      </c>
      <c r="O316" s="237" t="s">
        <v>153</v>
      </c>
      <c r="P316" s="237"/>
      <c r="Q316" s="237"/>
      <c r="R316" s="237"/>
      <c r="S316" s="237"/>
      <c r="T316" s="237"/>
      <c r="U316" s="237"/>
      <c r="V316" s="237" t="s">
        <v>200</v>
      </c>
      <c r="W316" s="239">
        <v>3600</v>
      </c>
      <c r="X316" s="240">
        <v>3600</v>
      </c>
      <c r="Y316" s="240">
        <v>72</v>
      </c>
      <c r="Z316" s="237"/>
      <c r="AA316" s="241"/>
      <c r="AB316" s="237"/>
      <c r="AC316" s="238"/>
      <c r="AD316" s="238"/>
      <c r="AE316" s="237">
        <v>200315</v>
      </c>
      <c r="AF316" s="237" t="s">
        <v>35</v>
      </c>
      <c r="AG316" s="237" t="s">
        <v>842</v>
      </c>
      <c r="AH316" s="238"/>
      <c r="AI316" s="48"/>
      <c r="AJ316" s="48"/>
      <c r="AK316" s="48"/>
      <c r="AL316" s="48"/>
    </row>
    <row r="317" spans="1:38" s="263" customFormat="1">
      <c r="A317" s="237">
        <v>607</v>
      </c>
      <c r="B317" s="237" t="s">
        <v>36</v>
      </c>
      <c r="C317" s="237" t="s">
        <v>200</v>
      </c>
      <c r="D317" s="237" t="s">
        <v>200</v>
      </c>
      <c r="E317" s="237" t="s">
        <v>200</v>
      </c>
      <c r="F317" s="237" t="s">
        <v>200</v>
      </c>
      <c r="G317" s="252" t="s">
        <v>834</v>
      </c>
      <c r="H317" s="238" t="s">
        <v>200</v>
      </c>
      <c r="I317" s="237" t="s">
        <v>801</v>
      </c>
      <c r="J317" s="237">
        <v>1</v>
      </c>
      <c r="K317" s="237" t="s">
        <v>44</v>
      </c>
      <c r="L317" s="238" t="s">
        <v>200</v>
      </c>
      <c r="M317" s="237" t="s">
        <v>843</v>
      </c>
      <c r="N317" s="237"/>
      <c r="O317" s="237" t="s">
        <v>46</v>
      </c>
      <c r="P317" s="237"/>
      <c r="Q317" s="237"/>
      <c r="R317" s="237"/>
      <c r="S317" s="237"/>
      <c r="T317" s="237"/>
      <c r="U317" s="237"/>
      <c r="V317" s="237" t="s">
        <v>200</v>
      </c>
      <c r="W317" s="239">
        <v>5000</v>
      </c>
      <c r="X317" s="240">
        <v>5000</v>
      </c>
      <c r="Y317" s="240">
        <v>100</v>
      </c>
      <c r="Z317" s="237"/>
      <c r="AA317" s="241"/>
      <c r="AB317" s="237"/>
      <c r="AC317" s="238"/>
      <c r="AD317" s="238"/>
      <c r="AE317" s="237">
        <v>191219</v>
      </c>
      <c r="AF317" s="237" t="s">
        <v>35</v>
      </c>
      <c r="AG317" s="237" t="s">
        <v>844</v>
      </c>
      <c r="AH317" s="238"/>
      <c r="AI317" s="48"/>
      <c r="AJ317" s="48"/>
      <c r="AK317" s="48"/>
      <c r="AL317" s="48"/>
    </row>
    <row r="318" spans="1:38" s="263" customFormat="1">
      <c r="A318" s="237">
        <v>622</v>
      </c>
      <c r="B318" s="237" t="s">
        <v>36</v>
      </c>
      <c r="C318" s="237" t="s">
        <v>200</v>
      </c>
      <c r="D318" s="237" t="s">
        <v>200</v>
      </c>
      <c r="E318" s="237" t="s">
        <v>200</v>
      </c>
      <c r="F318" s="237" t="s">
        <v>200</v>
      </c>
      <c r="G318" s="252" t="s">
        <v>834</v>
      </c>
      <c r="H318" s="238" t="s">
        <v>200</v>
      </c>
      <c r="I318" s="237" t="s">
        <v>801</v>
      </c>
      <c r="J318" s="237">
        <v>1</v>
      </c>
      <c r="K318" s="237" t="s">
        <v>151</v>
      </c>
      <c r="L318" s="238" t="s">
        <v>200</v>
      </c>
      <c r="M318" s="237" t="s">
        <v>152</v>
      </c>
      <c r="N318" s="237"/>
      <c r="O318" s="237" t="s">
        <v>153</v>
      </c>
      <c r="P318" s="237"/>
      <c r="Q318" s="237"/>
      <c r="R318" s="237"/>
      <c r="S318" s="237"/>
      <c r="T318" s="237"/>
      <c r="U318" s="237"/>
      <c r="V318" s="237" t="s">
        <v>200</v>
      </c>
      <c r="W318" s="239">
        <v>1000</v>
      </c>
      <c r="X318" s="240">
        <v>1000</v>
      </c>
      <c r="Y318" s="240">
        <v>20</v>
      </c>
      <c r="Z318" s="237"/>
      <c r="AA318" s="241"/>
      <c r="AB318" s="237"/>
      <c r="AC318" s="238"/>
      <c r="AD318" s="238"/>
      <c r="AE318" s="237" t="s">
        <v>675</v>
      </c>
      <c r="AF318" s="237" t="s">
        <v>35</v>
      </c>
      <c r="AG318" s="237" t="s">
        <v>845</v>
      </c>
      <c r="AH318" s="238"/>
      <c r="AI318" s="48"/>
      <c r="AJ318" s="48"/>
      <c r="AK318" s="48"/>
      <c r="AL318" s="48"/>
    </row>
    <row r="319" spans="1:38" s="263" customFormat="1">
      <c r="A319" s="237">
        <v>601</v>
      </c>
      <c r="B319" s="237" t="s">
        <v>36</v>
      </c>
      <c r="C319" s="237" t="s">
        <v>200</v>
      </c>
      <c r="D319" s="237" t="s">
        <v>200</v>
      </c>
      <c r="E319" s="237" t="s">
        <v>200</v>
      </c>
      <c r="F319" s="237" t="s">
        <v>200</v>
      </c>
      <c r="G319" s="252" t="s">
        <v>834</v>
      </c>
      <c r="H319" s="238" t="s">
        <v>200</v>
      </c>
      <c r="I319" s="237" t="s">
        <v>801</v>
      </c>
      <c r="J319" s="237">
        <v>1</v>
      </c>
      <c r="K319" s="237" t="s">
        <v>151</v>
      </c>
      <c r="L319" s="238" t="s">
        <v>200</v>
      </c>
      <c r="M319" s="237" t="s">
        <v>837</v>
      </c>
      <c r="N319" s="237" t="s">
        <v>838</v>
      </c>
      <c r="O319" s="237" t="s">
        <v>46</v>
      </c>
      <c r="P319" s="237"/>
      <c r="Q319" s="237"/>
      <c r="R319" s="237"/>
      <c r="S319" s="237"/>
      <c r="T319" s="237"/>
      <c r="U319" s="237"/>
      <c r="V319" s="237" t="s">
        <v>200</v>
      </c>
      <c r="W319" s="239">
        <v>3000</v>
      </c>
      <c r="X319" s="240">
        <v>3000</v>
      </c>
      <c r="Y319" s="240">
        <v>60</v>
      </c>
      <c r="Z319" s="237"/>
      <c r="AA319" s="241"/>
      <c r="AB319" s="237"/>
      <c r="AC319" s="238"/>
      <c r="AD319" s="238"/>
      <c r="AE319" s="237">
        <v>200315</v>
      </c>
      <c r="AF319" s="237" t="s">
        <v>35</v>
      </c>
      <c r="AG319" s="237" t="s">
        <v>815</v>
      </c>
      <c r="AH319" s="238"/>
      <c r="AI319" s="48"/>
      <c r="AJ319" s="48"/>
      <c r="AK319" s="48"/>
      <c r="AL319" s="48"/>
    </row>
    <row r="320" spans="1:38" s="263" customFormat="1">
      <c r="A320" s="237">
        <v>602</v>
      </c>
      <c r="B320" s="237" t="s">
        <v>36</v>
      </c>
      <c r="C320" s="237" t="s">
        <v>200</v>
      </c>
      <c r="D320" s="237" t="s">
        <v>200</v>
      </c>
      <c r="E320" s="237" t="s">
        <v>200</v>
      </c>
      <c r="F320" s="237" t="s">
        <v>200</v>
      </c>
      <c r="G320" s="252" t="s">
        <v>834</v>
      </c>
      <c r="H320" s="238" t="s">
        <v>200</v>
      </c>
      <c r="I320" s="237" t="s">
        <v>801</v>
      </c>
      <c r="J320" s="237">
        <v>1</v>
      </c>
      <c r="K320" s="237" t="s">
        <v>151</v>
      </c>
      <c r="L320" s="238" t="s">
        <v>200</v>
      </c>
      <c r="M320" s="237" t="s">
        <v>846</v>
      </c>
      <c r="N320" s="237"/>
      <c r="O320" s="237" t="s">
        <v>215</v>
      </c>
      <c r="P320" s="237"/>
      <c r="Q320" s="237"/>
      <c r="R320" s="237"/>
      <c r="S320" s="237"/>
      <c r="T320" s="237"/>
      <c r="U320" s="237"/>
      <c r="V320" s="237" t="s">
        <v>200</v>
      </c>
      <c r="W320" s="239">
        <v>3300</v>
      </c>
      <c r="X320" s="240">
        <v>3300</v>
      </c>
      <c r="Y320" s="240">
        <v>66</v>
      </c>
      <c r="Z320" s="237"/>
      <c r="AA320" s="241"/>
      <c r="AB320" s="237"/>
      <c r="AC320" s="238"/>
      <c r="AD320" s="238"/>
      <c r="AE320" s="237" t="s">
        <v>675</v>
      </c>
      <c r="AF320" s="237" t="s">
        <v>35</v>
      </c>
      <c r="AG320" s="237" t="s">
        <v>847</v>
      </c>
      <c r="AH320" s="238"/>
      <c r="AI320" s="48"/>
      <c r="AJ320" s="48"/>
      <c r="AK320" s="48"/>
      <c r="AL320" s="48"/>
    </row>
    <row r="321" spans="1:38" s="263" customFormat="1">
      <c r="A321" s="248">
        <v>609</v>
      </c>
      <c r="B321" s="248" t="s">
        <v>36</v>
      </c>
      <c r="C321" s="237" t="s">
        <v>200</v>
      </c>
      <c r="D321" s="237" t="s">
        <v>200</v>
      </c>
      <c r="E321" s="237" t="s">
        <v>200</v>
      </c>
      <c r="F321" s="237" t="s">
        <v>200</v>
      </c>
      <c r="G321" s="252" t="s">
        <v>834</v>
      </c>
      <c r="H321" s="238" t="s">
        <v>200</v>
      </c>
      <c r="I321" s="237" t="s">
        <v>801</v>
      </c>
      <c r="J321" s="248">
        <v>1</v>
      </c>
      <c r="K321" s="248" t="s">
        <v>37</v>
      </c>
      <c r="L321" s="238" t="s">
        <v>200</v>
      </c>
      <c r="M321" s="248" t="s">
        <v>848</v>
      </c>
      <c r="N321" s="248"/>
      <c r="O321" s="248" t="s">
        <v>40</v>
      </c>
      <c r="P321" s="248"/>
      <c r="Q321" s="248"/>
      <c r="R321" s="248"/>
      <c r="S321" s="248"/>
      <c r="T321" s="248"/>
      <c r="U321" s="248"/>
      <c r="V321" s="237" t="s">
        <v>200</v>
      </c>
      <c r="W321" s="254">
        <v>2500</v>
      </c>
      <c r="X321" s="250">
        <v>2500</v>
      </c>
      <c r="Y321" s="250">
        <v>50</v>
      </c>
      <c r="Z321" s="248"/>
      <c r="AA321" s="255"/>
      <c r="AB321" s="248"/>
      <c r="AC321" s="238"/>
      <c r="AD321" s="238"/>
      <c r="AE321" s="248">
        <v>221017</v>
      </c>
      <c r="AF321" s="237" t="s">
        <v>35</v>
      </c>
      <c r="AG321" s="248" t="s">
        <v>849</v>
      </c>
      <c r="AH321" s="238"/>
      <c r="AI321" s="48"/>
      <c r="AJ321" s="48"/>
      <c r="AK321" s="48"/>
      <c r="AL321" s="48"/>
    </row>
    <row r="322" spans="1:38" s="263" customFormat="1">
      <c r="A322" s="237">
        <v>633</v>
      </c>
      <c r="B322" s="237" t="s">
        <v>36</v>
      </c>
      <c r="C322" s="237" t="s">
        <v>200</v>
      </c>
      <c r="D322" s="237" t="s">
        <v>200</v>
      </c>
      <c r="E322" s="237" t="s">
        <v>200</v>
      </c>
      <c r="F322" s="237" t="s">
        <v>200</v>
      </c>
      <c r="G322" s="252" t="s">
        <v>834</v>
      </c>
      <c r="H322" s="238" t="s">
        <v>200</v>
      </c>
      <c r="I322" s="237" t="s">
        <v>801</v>
      </c>
      <c r="J322" s="237">
        <v>1</v>
      </c>
      <c r="K322" s="237" t="s">
        <v>44</v>
      </c>
      <c r="L322" s="238" t="s">
        <v>200</v>
      </c>
      <c r="M322" s="237" t="s">
        <v>850</v>
      </c>
      <c r="N322" s="237" t="s">
        <v>851</v>
      </c>
      <c r="O322" s="237" t="s">
        <v>852</v>
      </c>
      <c r="P322" s="237"/>
      <c r="Q322" s="237"/>
      <c r="R322" s="237"/>
      <c r="S322" s="237"/>
      <c r="T322" s="237"/>
      <c r="U322" s="237"/>
      <c r="V322" s="237"/>
      <c r="W322" s="239"/>
      <c r="X322" s="240"/>
      <c r="Y322" s="240"/>
      <c r="Z322" s="237"/>
      <c r="AA322" s="241"/>
      <c r="AB322" s="242"/>
      <c r="AC322" s="238"/>
      <c r="AD322" s="238"/>
      <c r="AE322" s="237">
        <v>220425</v>
      </c>
      <c r="AF322" s="237" t="s">
        <v>35</v>
      </c>
      <c r="AG322" s="237" t="s">
        <v>761</v>
      </c>
      <c r="AH322" s="238"/>
      <c r="AI322" s="48"/>
      <c r="AJ322" s="48"/>
      <c r="AK322" s="48"/>
      <c r="AL322" s="48"/>
    </row>
    <row r="323" spans="1:38" s="263" customFormat="1">
      <c r="A323" s="263">
        <v>900</v>
      </c>
      <c r="B323" s="263" t="s">
        <v>336</v>
      </c>
      <c r="C323" s="263" t="s">
        <v>200</v>
      </c>
      <c r="D323" s="263" t="s">
        <v>200</v>
      </c>
      <c r="E323" s="263" t="s">
        <v>200</v>
      </c>
      <c r="F323" s="263" t="s">
        <v>200</v>
      </c>
      <c r="G323" s="252" t="s">
        <v>834</v>
      </c>
      <c r="H323" s="263" t="s">
        <v>200</v>
      </c>
      <c r="I323" s="263" t="s">
        <v>801</v>
      </c>
      <c r="J323" s="263">
        <v>1</v>
      </c>
      <c r="K323" s="263" t="s">
        <v>604</v>
      </c>
      <c r="L323" s="263" t="s">
        <v>200</v>
      </c>
      <c r="M323" s="263" t="s">
        <v>937</v>
      </c>
      <c r="V323" s="263" t="s">
        <v>200</v>
      </c>
      <c r="W323" s="264">
        <v>130</v>
      </c>
      <c r="X323" s="265">
        <v>130</v>
      </c>
      <c r="Y323" s="265">
        <v>2.6</v>
      </c>
      <c r="AE323" s="263">
        <v>210428</v>
      </c>
      <c r="AF323" s="263" t="s">
        <v>360</v>
      </c>
      <c r="AG323" s="263" t="s">
        <v>776</v>
      </c>
      <c r="AI323" s="48"/>
      <c r="AJ323" s="48"/>
      <c r="AK323" s="48"/>
      <c r="AL323" s="48"/>
    </row>
    <row r="324" spans="1:38" s="263" customFormat="1">
      <c r="A324" s="263">
        <v>906</v>
      </c>
      <c r="B324" s="263" t="s">
        <v>336</v>
      </c>
      <c r="C324" s="263" t="s">
        <v>200</v>
      </c>
      <c r="D324" s="263" t="s">
        <v>200</v>
      </c>
      <c r="E324" s="263" t="s">
        <v>200</v>
      </c>
      <c r="F324" s="263" t="s">
        <v>200</v>
      </c>
      <c r="G324" s="252" t="s">
        <v>834</v>
      </c>
      <c r="H324" s="263" t="s">
        <v>200</v>
      </c>
      <c r="I324" s="263" t="s">
        <v>801</v>
      </c>
      <c r="J324" s="263">
        <v>1</v>
      </c>
      <c r="K324" s="263" t="s">
        <v>920</v>
      </c>
      <c r="L324" s="263" t="s">
        <v>200</v>
      </c>
      <c r="M324" s="263" t="s">
        <v>938</v>
      </c>
      <c r="V324" s="263" t="s">
        <v>200</v>
      </c>
      <c r="W324" s="277">
        <v>200</v>
      </c>
      <c r="X324" s="265">
        <v>200</v>
      </c>
      <c r="Y324" s="265">
        <v>4</v>
      </c>
      <c r="AE324" s="263" t="s">
        <v>675</v>
      </c>
      <c r="AF324" s="263" t="s">
        <v>35</v>
      </c>
      <c r="AG324" s="263" t="s">
        <v>918</v>
      </c>
      <c r="AI324" s="48"/>
      <c r="AJ324" s="48"/>
      <c r="AK324" s="48"/>
      <c r="AL324" s="48"/>
    </row>
    <row r="325" spans="1:38" s="263" customFormat="1">
      <c r="A325" s="263">
        <v>927</v>
      </c>
      <c r="B325" s="263" t="s">
        <v>336</v>
      </c>
      <c r="C325" s="263" t="s">
        <v>200</v>
      </c>
      <c r="D325" s="263" t="s">
        <v>200</v>
      </c>
      <c r="E325" s="263" t="s">
        <v>200</v>
      </c>
      <c r="F325" s="263" t="s">
        <v>200</v>
      </c>
      <c r="G325" s="252" t="s">
        <v>834</v>
      </c>
      <c r="H325" s="263" t="s">
        <v>200</v>
      </c>
      <c r="I325" s="263" t="s">
        <v>801</v>
      </c>
      <c r="J325" s="263">
        <v>1</v>
      </c>
      <c r="K325" s="263" t="s">
        <v>337</v>
      </c>
      <c r="L325" s="263" t="s">
        <v>200</v>
      </c>
      <c r="M325" s="263" t="s">
        <v>917</v>
      </c>
      <c r="N325" s="275">
        <v>6903384574539</v>
      </c>
      <c r="V325" s="263" t="s">
        <v>200</v>
      </c>
      <c r="W325" s="264">
        <v>250</v>
      </c>
      <c r="X325" s="265">
        <v>250</v>
      </c>
      <c r="Y325" s="265">
        <v>5</v>
      </c>
      <c r="AE325" s="263">
        <v>220608</v>
      </c>
      <c r="AF325" s="263" t="s">
        <v>35</v>
      </c>
      <c r="AG325" s="263" t="s">
        <v>916</v>
      </c>
      <c r="AI325" s="48"/>
      <c r="AJ325" s="48"/>
      <c r="AK325" s="48"/>
      <c r="AL325" s="48"/>
    </row>
    <row r="326" spans="1:38" s="263" customFormat="1">
      <c r="A326" s="263">
        <v>910</v>
      </c>
      <c r="B326" s="263" t="s">
        <v>336</v>
      </c>
      <c r="C326" s="263" t="s">
        <v>200</v>
      </c>
      <c r="D326" s="263" t="s">
        <v>200</v>
      </c>
      <c r="E326" s="263" t="s">
        <v>200</v>
      </c>
      <c r="F326" s="263" t="s">
        <v>200</v>
      </c>
      <c r="G326" s="252" t="s">
        <v>834</v>
      </c>
      <c r="H326" s="263" t="s">
        <v>200</v>
      </c>
      <c r="I326" s="263" t="s">
        <v>801</v>
      </c>
      <c r="J326" s="263">
        <v>1</v>
      </c>
      <c r="K326" s="263" t="s">
        <v>151</v>
      </c>
      <c r="L326" s="263" t="s">
        <v>200</v>
      </c>
      <c r="M326" s="263" t="s">
        <v>915</v>
      </c>
      <c r="V326" s="263" t="s">
        <v>200</v>
      </c>
      <c r="W326" s="277">
        <v>500</v>
      </c>
      <c r="X326" s="265">
        <v>500</v>
      </c>
      <c r="Y326" s="265">
        <v>10</v>
      </c>
      <c r="AE326" s="263">
        <v>220916</v>
      </c>
      <c r="AF326" s="263" t="s">
        <v>35</v>
      </c>
      <c r="AG326" s="263" t="s">
        <v>914</v>
      </c>
      <c r="AI326" s="48"/>
      <c r="AJ326" s="48"/>
      <c r="AK326" s="48"/>
      <c r="AL326" s="48"/>
    </row>
    <row r="327" spans="1:38" s="263" customFormat="1">
      <c r="A327" s="261">
        <v>933</v>
      </c>
      <c r="B327" s="262" t="s">
        <v>336</v>
      </c>
      <c r="C327" s="263" t="s">
        <v>200</v>
      </c>
      <c r="D327" s="263" t="s">
        <v>200</v>
      </c>
      <c r="E327" s="263" t="s">
        <v>200</v>
      </c>
      <c r="F327" s="263" t="s">
        <v>200</v>
      </c>
      <c r="G327" s="252" t="s">
        <v>834</v>
      </c>
      <c r="H327" s="263" t="s">
        <v>200</v>
      </c>
      <c r="I327" s="263" t="s">
        <v>801</v>
      </c>
      <c r="J327" s="263">
        <v>1</v>
      </c>
      <c r="K327" s="262" t="s">
        <v>604</v>
      </c>
      <c r="L327" s="263" t="s">
        <v>200</v>
      </c>
      <c r="M327" s="262" t="s">
        <v>906</v>
      </c>
      <c r="N327" s="262"/>
      <c r="O327" s="262"/>
      <c r="P327" s="262"/>
      <c r="Q327" s="262"/>
      <c r="R327" s="262"/>
      <c r="S327" s="262"/>
      <c r="T327" s="262"/>
      <c r="U327" s="262"/>
      <c r="V327" s="263" t="s">
        <v>200</v>
      </c>
      <c r="W327" s="266"/>
      <c r="X327" s="265"/>
      <c r="Y327" s="265"/>
      <c r="AE327" s="263" t="s">
        <v>675</v>
      </c>
      <c r="AF327" s="263" t="s">
        <v>35</v>
      </c>
      <c r="AG327" s="263" t="s">
        <v>807</v>
      </c>
      <c r="AI327" s="48"/>
      <c r="AJ327" s="48"/>
      <c r="AK327" s="48"/>
      <c r="AL327" s="48"/>
    </row>
    <row r="328" spans="1:38" s="263" customFormat="1">
      <c r="A328" s="263">
        <v>926</v>
      </c>
      <c r="B328" s="263" t="s">
        <v>336</v>
      </c>
      <c r="C328" s="263" t="s">
        <v>200</v>
      </c>
      <c r="D328" s="263" t="s">
        <v>200</v>
      </c>
      <c r="E328" s="263" t="s">
        <v>200</v>
      </c>
      <c r="F328" s="263" t="s">
        <v>200</v>
      </c>
      <c r="G328" s="252" t="s">
        <v>834</v>
      </c>
      <c r="H328" s="263" t="s">
        <v>200</v>
      </c>
      <c r="I328" s="263" t="s">
        <v>801</v>
      </c>
      <c r="J328" s="263">
        <v>1</v>
      </c>
      <c r="K328" s="263" t="s">
        <v>604</v>
      </c>
      <c r="L328" s="263" t="s">
        <v>200</v>
      </c>
      <c r="M328" s="263" t="s">
        <v>903</v>
      </c>
      <c r="V328" s="263" t="s">
        <v>200</v>
      </c>
      <c r="W328" s="264">
        <v>130</v>
      </c>
      <c r="X328" s="265">
        <v>130</v>
      </c>
      <c r="Y328" s="265">
        <v>2.6</v>
      </c>
      <c r="AE328" s="263" t="s">
        <v>675</v>
      </c>
      <c r="AF328" s="263" t="s">
        <v>35</v>
      </c>
      <c r="AG328" s="263" t="s">
        <v>845</v>
      </c>
      <c r="AI328" s="48"/>
      <c r="AJ328" s="48"/>
      <c r="AK328" s="48"/>
      <c r="AL328" s="48"/>
    </row>
    <row r="329" spans="1:38" s="263" customFormat="1">
      <c r="A329" s="261">
        <v>935</v>
      </c>
      <c r="B329" s="262" t="s">
        <v>336</v>
      </c>
      <c r="C329" s="263" t="s">
        <v>200</v>
      </c>
      <c r="D329" s="263" t="s">
        <v>200</v>
      </c>
      <c r="E329" s="263" t="s">
        <v>200</v>
      </c>
      <c r="F329" s="263" t="s">
        <v>200</v>
      </c>
      <c r="G329" s="252" t="s">
        <v>834</v>
      </c>
      <c r="H329" s="263" t="s">
        <v>200</v>
      </c>
      <c r="I329" s="263" t="s">
        <v>801</v>
      </c>
      <c r="J329" s="263">
        <v>1</v>
      </c>
      <c r="K329" s="262" t="s">
        <v>899</v>
      </c>
      <c r="L329" s="263" t="s">
        <v>200</v>
      </c>
      <c r="M329" s="262" t="s">
        <v>898</v>
      </c>
      <c r="N329" s="262" t="s">
        <v>897</v>
      </c>
      <c r="O329" s="262"/>
      <c r="P329" s="262"/>
      <c r="Q329" s="262"/>
      <c r="R329" s="262"/>
      <c r="S329" s="262"/>
      <c r="T329" s="262"/>
      <c r="U329" s="262"/>
      <c r="V329" s="263" t="s">
        <v>200</v>
      </c>
      <c r="W329" s="266">
        <v>250</v>
      </c>
      <c r="X329" s="265">
        <v>250</v>
      </c>
      <c r="Y329" s="265">
        <v>5</v>
      </c>
      <c r="Z329" s="262"/>
      <c r="AA329" s="267"/>
      <c r="AE329" s="263">
        <v>221121</v>
      </c>
      <c r="AF329" s="263" t="s">
        <v>360</v>
      </c>
      <c r="AG329" s="263" t="s">
        <v>896</v>
      </c>
      <c r="AI329" s="48"/>
      <c r="AJ329" s="48"/>
      <c r="AK329" s="48"/>
      <c r="AL329" s="48"/>
    </row>
    <row r="330" spans="1:38" s="263" customFormat="1" ht="13.5" customHeight="1">
      <c r="A330" s="263">
        <v>911</v>
      </c>
      <c r="B330" s="263" t="s">
        <v>336</v>
      </c>
      <c r="C330" s="263" t="s">
        <v>200</v>
      </c>
      <c r="D330" s="263" t="s">
        <v>200</v>
      </c>
      <c r="E330" s="263" t="s">
        <v>200</v>
      </c>
      <c r="F330" s="263" t="s">
        <v>200</v>
      </c>
      <c r="G330" s="252" t="s">
        <v>834</v>
      </c>
      <c r="H330" s="263" t="s">
        <v>200</v>
      </c>
      <c r="I330" s="263" t="s">
        <v>801</v>
      </c>
      <c r="J330" s="263">
        <v>1</v>
      </c>
      <c r="K330" s="263" t="s">
        <v>939</v>
      </c>
      <c r="L330" s="263" t="s">
        <v>200</v>
      </c>
      <c r="M330" s="263" t="s">
        <v>940</v>
      </c>
      <c r="V330" s="263" t="s">
        <v>200</v>
      </c>
      <c r="W330" s="277">
        <v>100</v>
      </c>
      <c r="X330" s="265">
        <v>100</v>
      </c>
      <c r="Y330" s="265">
        <v>2</v>
      </c>
      <c r="AE330" s="263">
        <v>200317</v>
      </c>
      <c r="AF330" s="263" t="s">
        <v>35</v>
      </c>
      <c r="AG330" s="263" t="s">
        <v>893</v>
      </c>
      <c r="AI330" s="48"/>
      <c r="AJ330" s="48"/>
      <c r="AK330" s="48"/>
      <c r="AL330" s="48"/>
    </row>
    <row r="331" spans="1:38" s="263" customFormat="1" ht="13.5" customHeight="1">
      <c r="A331" s="261">
        <v>932</v>
      </c>
      <c r="B331" s="262" t="s">
        <v>336</v>
      </c>
      <c r="C331" s="263" t="s">
        <v>200</v>
      </c>
      <c r="D331" s="263" t="s">
        <v>200</v>
      </c>
      <c r="E331" s="263" t="s">
        <v>200</v>
      </c>
      <c r="F331" s="263" t="s">
        <v>200</v>
      </c>
      <c r="G331" s="252" t="s">
        <v>834</v>
      </c>
      <c r="H331" s="263" t="s">
        <v>200</v>
      </c>
      <c r="I331" s="263" t="s">
        <v>801</v>
      </c>
      <c r="J331" s="263">
        <v>1</v>
      </c>
      <c r="K331" s="262" t="s">
        <v>151</v>
      </c>
      <c r="L331" s="263" t="s">
        <v>200</v>
      </c>
      <c r="M331" s="262" t="s">
        <v>915</v>
      </c>
      <c r="N331" s="262"/>
      <c r="O331" s="262"/>
      <c r="P331" s="262"/>
      <c r="Q331" s="262"/>
      <c r="R331" s="262"/>
      <c r="S331" s="262"/>
      <c r="T331" s="262"/>
      <c r="U331" s="262"/>
      <c r="V331" s="263" t="s">
        <v>200</v>
      </c>
      <c r="W331" s="266"/>
      <c r="X331" s="265"/>
      <c r="Y331" s="265"/>
      <c r="AE331" s="263">
        <v>221015</v>
      </c>
      <c r="AF331" s="263" t="s">
        <v>35</v>
      </c>
      <c r="AG331" s="263" t="s">
        <v>726</v>
      </c>
      <c r="AI331" s="48"/>
      <c r="AJ331" s="48"/>
      <c r="AK331" s="48"/>
      <c r="AL331" s="48"/>
    </row>
    <row r="332" spans="1:38" s="263" customFormat="1">
      <c r="A332" s="261">
        <v>936</v>
      </c>
      <c r="B332" s="262" t="s">
        <v>336</v>
      </c>
      <c r="C332" s="263" t="s">
        <v>200</v>
      </c>
      <c r="D332" s="263" t="s">
        <v>200</v>
      </c>
      <c r="E332" s="263" t="s">
        <v>200</v>
      </c>
      <c r="F332" s="263" t="s">
        <v>200</v>
      </c>
      <c r="G332" s="252" t="s">
        <v>834</v>
      </c>
      <c r="H332" s="263" t="s">
        <v>200</v>
      </c>
      <c r="I332" s="263" t="s">
        <v>801</v>
      </c>
      <c r="J332" s="263">
        <v>1</v>
      </c>
      <c r="K332" s="262" t="s">
        <v>899</v>
      </c>
      <c r="L332" s="263" t="s">
        <v>200</v>
      </c>
      <c r="M332" s="262" t="s">
        <v>898</v>
      </c>
      <c r="N332" s="262"/>
      <c r="O332" s="262"/>
      <c r="P332" s="262"/>
      <c r="Q332" s="262"/>
      <c r="R332" s="262"/>
      <c r="S332" s="262"/>
      <c r="T332" s="262"/>
      <c r="U332" s="262"/>
      <c r="V332" s="263" t="s">
        <v>200</v>
      </c>
      <c r="W332" s="266">
        <v>250</v>
      </c>
      <c r="X332" s="265">
        <v>250</v>
      </c>
      <c r="Y332" s="265">
        <v>5</v>
      </c>
      <c r="Z332" s="262"/>
      <c r="AA332" s="267"/>
      <c r="AE332" s="263">
        <v>221121</v>
      </c>
      <c r="AF332" s="263" t="s">
        <v>360</v>
      </c>
      <c r="AG332" s="263" t="s">
        <v>941</v>
      </c>
      <c r="AI332" s="48"/>
      <c r="AJ332" s="48"/>
      <c r="AK332" s="48"/>
      <c r="AL332" s="48"/>
    </row>
    <row r="333" spans="1:38" s="263" customFormat="1">
      <c r="A333" s="275">
        <v>9000</v>
      </c>
      <c r="B333" s="263" t="s">
        <v>1040</v>
      </c>
      <c r="C333" s="263" t="s">
        <v>200</v>
      </c>
      <c r="D333" s="263" t="s">
        <v>200</v>
      </c>
      <c r="F333" s="263" t="s">
        <v>200</v>
      </c>
      <c r="G333" s="263" t="s">
        <v>834</v>
      </c>
      <c r="H333" s="263" t="s">
        <v>200</v>
      </c>
      <c r="I333" s="263" t="s">
        <v>801</v>
      </c>
      <c r="J333" s="263">
        <v>1</v>
      </c>
      <c r="K333" s="263" t="s">
        <v>1041</v>
      </c>
      <c r="U333" s="265"/>
      <c r="V333" s="265" t="s">
        <v>34</v>
      </c>
      <c r="W333" s="265"/>
      <c r="AE333" s="263" t="s">
        <v>675</v>
      </c>
      <c r="AF333" s="263" t="s">
        <v>35</v>
      </c>
      <c r="AG333" s="263" t="s">
        <v>964</v>
      </c>
      <c r="AI333" s="48"/>
      <c r="AJ333" s="48"/>
      <c r="AK333" s="48"/>
      <c r="AL333" s="48"/>
    </row>
    <row r="334" spans="1:38" s="263" customFormat="1" ht="15" customHeight="1">
      <c r="A334" s="275">
        <v>9032</v>
      </c>
      <c r="B334" s="263" t="s">
        <v>1066</v>
      </c>
      <c r="C334" s="263" t="s">
        <v>200</v>
      </c>
      <c r="D334" s="263" t="s">
        <v>200</v>
      </c>
      <c r="E334" s="260" t="s">
        <v>200</v>
      </c>
      <c r="F334" s="263" t="s">
        <v>200</v>
      </c>
      <c r="G334" s="263" t="s">
        <v>834</v>
      </c>
      <c r="H334" s="263" t="s">
        <v>200</v>
      </c>
      <c r="I334" s="263" t="s">
        <v>801</v>
      </c>
      <c r="J334" s="263">
        <v>1</v>
      </c>
      <c r="K334" s="263" t="s">
        <v>1067</v>
      </c>
      <c r="L334" s="263" t="s">
        <v>200</v>
      </c>
      <c r="M334" s="263" t="s">
        <v>1068</v>
      </c>
      <c r="V334" s="265" t="s">
        <v>34</v>
      </c>
      <c r="W334" s="265">
        <v>2300</v>
      </c>
      <c r="X334" s="265">
        <v>46</v>
      </c>
      <c r="AE334" s="263">
        <v>200220</v>
      </c>
      <c r="AF334" s="263" t="s">
        <v>35</v>
      </c>
      <c r="AG334" s="263" t="s">
        <v>761</v>
      </c>
      <c r="AI334" s="48"/>
      <c r="AJ334" s="48"/>
      <c r="AK334" s="48"/>
      <c r="AL334" s="48"/>
    </row>
    <row r="335" spans="1:38" s="263" customFormat="1" ht="15" customHeight="1">
      <c r="A335" s="275">
        <v>9033</v>
      </c>
      <c r="B335" s="263" t="s">
        <v>1066</v>
      </c>
      <c r="C335" s="263" t="s">
        <v>200</v>
      </c>
      <c r="D335" s="263" t="s">
        <v>200</v>
      </c>
      <c r="E335" s="260" t="s">
        <v>200</v>
      </c>
      <c r="F335" s="263" t="s">
        <v>200</v>
      </c>
      <c r="G335" s="263" t="s">
        <v>834</v>
      </c>
      <c r="H335" s="263" t="s">
        <v>200</v>
      </c>
      <c r="I335" s="263" t="s">
        <v>801</v>
      </c>
      <c r="J335" s="263">
        <v>1</v>
      </c>
      <c r="K335" s="260" t="s">
        <v>1069</v>
      </c>
      <c r="L335" s="263" t="s">
        <v>200</v>
      </c>
      <c r="M335" s="260" t="s">
        <v>1070</v>
      </c>
      <c r="N335" s="260"/>
      <c r="O335" s="260"/>
      <c r="P335" s="260"/>
      <c r="Q335" s="260"/>
      <c r="R335" s="260"/>
      <c r="S335" s="260"/>
      <c r="T335" s="260"/>
      <c r="U335" s="260"/>
      <c r="V335" s="265" t="s">
        <v>34</v>
      </c>
      <c r="W335" s="265">
        <v>2300</v>
      </c>
      <c r="X335" s="265">
        <v>46</v>
      </c>
      <c r="Y335" s="260"/>
      <c r="Z335" s="270"/>
      <c r="AA335" s="260"/>
      <c r="AE335" s="263">
        <v>200220</v>
      </c>
      <c r="AF335" s="263" t="s">
        <v>35</v>
      </c>
      <c r="AG335" s="263" t="s">
        <v>761</v>
      </c>
      <c r="AI335" s="48"/>
      <c r="AJ335" s="48"/>
      <c r="AK335" s="48"/>
      <c r="AL335" s="48"/>
    </row>
    <row r="336" spans="1:38" s="263" customFormat="1" ht="13.5" customHeight="1">
      <c r="A336" s="275" t="str">
        <f>"WR" &amp; TEXT(ROW()-1,"000")</f>
        <v>WR335</v>
      </c>
      <c r="B336" s="263" t="s">
        <v>1051</v>
      </c>
      <c r="C336" s="263" t="s">
        <v>200</v>
      </c>
      <c r="D336" s="263" t="s">
        <v>200</v>
      </c>
      <c r="E336" s="260" t="s">
        <v>200</v>
      </c>
      <c r="F336" s="263" t="s">
        <v>200</v>
      </c>
      <c r="G336" s="263" t="s">
        <v>834</v>
      </c>
      <c r="H336" s="263" t="s">
        <v>200</v>
      </c>
      <c r="I336" s="263" t="s">
        <v>801</v>
      </c>
      <c r="J336" s="263">
        <v>1</v>
      </c>
      <c r="K336" s="263" t="s">
        <v>87</v>
      </c>
      <c r="L336" s="263" t="s">
        <v>200</v>
      </c>
      <c r="M336" s="262" t="s">
        <v>1055</v>
      </c>
      <c r="N336" s="275">
        <v>2224282000516</v>
      </c>
      <c r="V336" s="265" t="s">
        <v>34</v>
      </c>
      <c r="W336" s="265"/>
      <c r="X336" s="265"/>
      <c r="Y336" s="265"/>
      <c r="AE336" s="263">
        <v>220902</v>
      </c>
      <c r="AF336" s="263" t="s">
        <v>360</v>
      </c>
      <c r="AG336" s="263" t="s">
        <v>776</v>
      </c>
      <c r="AI336" s="48"/>
      <c r="AJ336" s="48"/>
      <c r="AK336" s="48"/>
      <c r="AL336" s="48"/>
    </row>
    <row r="337" spans="1:38" s="263" customFormat="1" ht="15" customHeight="1">
      <c r="A337" s="275" t="str">
        <f>"WR" &amp; TEXT(ROW()-1,"000")</f>
        <v>WR336</v>
      </c>
      <c r="B337" s="263" t="s">
        <v>1051</v>
      </c>
      <c r="C337" s="263" t="s">
        <v>200</v>
      </c>
      <c r="D337" s="263" t="s">
        <v>200</v>
      </c>
      <c r="E337" s="260" t="s">
        <v>200</v>
      </c>
      <c r="F337" s="263" t="s">
        <v>200</v>
      </c>
      <c r="G337" s="263" t="s">
        <v>834</v>
      </c>
      <c r="H337" s="263" t="s">
        <v>200</v>
      </c>
      <c r="I337" s="263" t="s">
        <v>801</v>
      </c>
      <c r="J337" s="263">
        <v>1</v>
      </c>
      <c r="K337" s="263" t="s">
        <v>87</v>
      </c>
      <c r="L337" s="263" t="s">
        <v>200</v>
      </c>
      <c r="M337" s="263" t="s">
        <v>1054</v>
      </c>
      <c r="N337" s="275">
        <v>2223092000740</v>
      </c>
      <c r="V337" s="265" t="s">
        <v>34</v>
      </c>
      <c r="W337" s="277"/>
      <c r="X337" s="265"/>
      <c r="Y337" s="265"/>
      <c r="AE337" s="263">
        <v>220909</v>
      </c>
      <c r="AF337" s="263" t="s">
        <v>360</v>
      </c>
      <c r="AG337" s="263" t="s">
        <v>1046</v>
      </c>
      <c r="AI337" s="48"/>
      <c r="AJ337" s="48"/>
      <c r="AK337" s="48"/>
      <c r="AL337" s="48"/>
    </row>
    <row r="338" spans="1:38" s="263" customFormat="1">
      <c r="A338" s="275" t="str">
        <f>"WR" &amp; TEXT(ROW()-1,"000")</f>
        <v>WR337</v>
      </c>
      <c r="B338" s="263" t="s">
        <v>1051</v>
      </c>
      <c r="C338" s="263" t="s">
        <v>200</v>
      </c>
      <c r="D338" s="263" t="s">
        <v>200</v>
      </c>
      <c r="E338" s="260" t="s">
        <v>200</v>
      </c>
      <c r="F338" s="263" t="s">
        <v>200</v>
      </c>
      <c r="G338" s="263" t="s">
        <v>834</v>
      </c>
      <c r="H338" s="263" t="s">
        <v>200</v>
      </c>
      <c r="I338" s="263" t="s">
        <v>801</v>
      </c>
      <c r="J338" s="263">
        <v>1</v>
      </c>
      <c r="K338" s="263" t="s">
        <v>1050</v>
      </c>
      <c r="L338" s="263" t="s">
        <v>200</v>
      </c>
      <c r="M338" s="263" t="s">
        <v>1053</v>
      </c>
      <c r="N338" s="263" t="s">
        <v>1052</v>
      </c>
      <c r="V338" s="265" t="s">
        <v>34</v>
      </c>
      <c r="W338" s="265">
        <v>2000</v>
      </c>
      <c r="X338" s="265"/>
      <c r="Y338" s="265"/>
      <c r="AE338" s="263" t="s">
        <v>675</v>
      </c>
      <c r="AF338" s="263" t="s">
        <v>35</v>
      </c>
      <c r="AG338" s="263" t="s">
        <v>1029</v>
      </c>
      <c r="AI338" s="48"/>
      <c r="AJ338" s="48"/>
      <c r="AK338" s="48"/>
      <c r="AL338" s="48"/>
    </row>
    <row r="339" spans="1:38" s="263" customFormat="1">
      <c r="A339" s="275" t="str">
        <f>"WR" &amp; TEXT(ROW()-1,"000")</f>
        <v>WR338</v>
      </c>
      <c r="B339" s="263" t="s">
        <v>1051</v>
      </c>
      <c r="C339" s="263" t="s">
        <v>200</v>
      </c>
      <c r="D339" s="263" t="s">
        <v>200</v>
      </c>
      <c r="E339" s="260" t="s">
        <v>200</v>
      </c>
      <c r="F339" s="263" t="s">
        <v>200</v>
      </c>
      <c r="G339" s="263" t="s">
        <v>834</v>
      </c>
      <c r="H339" s="263" t="s">
        <v>200</v>
      </c>
      <c r="I339" s="263" t="s">
        <v>801</v>
      </c>
      <c r="J339" s="263">
        <v>1</v>
      </c>
      <c r="K339" s="263" t="s">
        <v>1050</v>
      </c>
      <c r="L339" s="263" t="s">
        <v>200</v>
      </c>
      <c r="M339" s="263" t="s">
        <v>1049</v>
      </c>
      <c r="N339" s="263" t="s">
        <v>1048</v>
      </c>
      <c r="V339" s="265" t="s">
        <v>34</v>
      </c>
      <c r="W339" s="265">
        <v>2000</v>
      </c>
      <c r="X339" s="265"/>
      <c r="Y339" s="265"/>
      <c r="AE339" s="263" t="s">
        <v>675</v>
      </c>
      <c r="AF339" s="263" t="s">
        <v>35</v>
      </c>
      <c r="AG339" s="263" t="s">
        <v>1029</v>
      </c>
      <c r="AI339" s="48"/>
      <c r="AJ339" s="48"/>
      <c r="AK339" s="48"/>
      <c r="AL339" s="48"/>
    </row>
    <row r="340" spans="1:38" s="263" customFormat="1">
      <c r="A340" s="275">
        <v>1901</v>
      </c>
      <c r="B340" s="263" t="s">
        <v>1051</v>
      </c>
      <c r="C340" s="263" t="s">
        <v>200</v>
      </c>
      <c r="D340" s="263" t="s">
        <v>200</v>
      </c>
      <c r="E340" s="260" t="s">
        <v>200</v>
      </c>
      <c r="F340" s="263" t="s">
        <v>200</v>
      </c>
      <c r="G340" s="263" t="s">
        <v>834</v>
      </c>
      <c r="H340" s="263" t="s">
        <v>200</v>
      </c>
      <c r="I340" s="263" t="s">
        <v>801</v>
      </c>
      <c r="J340" s="263">
        <v>1</v>
      </c>
      <c r="K340" s="263" t="s">
        <v>1056</v>
      </c>
      <c r="L340" s="263" t="s">
        <v>200</v>
      </c>
      <c r="M340" s="263" t="s">
        <v>1057</v>
      </c>
      <c r="V340" s="265" t="s">
        <v>34</v>
      </c>
      <c r="W340" s="265">
        <v>2000</v>
      </c>
      <c r="X340" s="265">
        <v>40</v>
      </c>
      <c r="AE340" s="263" t="s">
        <v>675</v>
      </c>
      <c r="AF340" s="263" t="s">
        <v>35</v>
      </c>
      <c r="AG340" s="263" t="s">
        <v>864</v>
      </c>
      <c r="AI340" s="48"/>
      <c r="AJ340" s="48"/>
      <c r="AK340" s="48"/>
      <c r="AL340" s="48"/>
    </row>
    <row r="341" spans="1:38" s="263" customFormat="1">
      <c r="A341" s="275">
        <v>1903</v>
      </c>
      <c r="B341" s="263" t="s">
        <v>1051</v>
      </c>
      <c r="C341" s="263" t="s">
        <v>200</v>
      </c>
      <c r="D341" s="263" t="s">
        <v>200</v>
      </c>
      <c r="E341" s="260" t="s">
        <v>200</v>
      </c>
      <c r="F341" s="263" t="s">
        <v>200</v>
      </c>
      <c r="G341" s="263" t="s">
        <v>834</v>
      </c>
      <c r="H341" s="263" t="s">
        <v>200</v>
      </c>
      <c r="I341" s="263" t="s">
        <v>801</v>
      </c>
      <c r="J341" s="263">
        <v>1</v>
      </c>
      <c r="K341" s="262" t="s">
        <v>1058</v>
      </c>
      <c r="L341" s="263" t="s">
        <v>200</v>
      </c>
      <c r="V341" s="265" t="s">
        <v>34</v>
      </c>
      <c r="W341" s="265">
        <v>1500</v>
      </c>
      <c r="X341" s="265">
        <v>30</v>
      </c>
      <c r="AE341" s="263" t="s">
        <v>675</v>
      </c>
      <c r="AF341" s="263" t="s">
        <v>35</v>
      </c>
      <c r="AG341" s="263" t="s">
        <v>864</v>
      </c>
      <c r="AI341" s="48"/>
      <c r="AJ341" s="48"/>
      <c r="AK341" s="48"/>
      <c r="AL341" s="48"/>
    </row>
    <row r="342" spans="1:38" s="263" customFormat="1">
      <c r="A342" s="275">
        <v>1904</v>
      </c>
      <c r="B342" s="263" t="s">
        <v>1051</v>
      </c>
      <c r="C342" s="263" t="s">
        <v>200</v>
      </c>
      <c r="D342" s="263" t="s">
        <v>200</v>
      </c>
      <c r="E342" s="260" t="s">
        <v>200</v>
      </c>
      <c r="F342" s="263" t="s">
        <v>200</v>
      </c>
      <c r="G342" s="263" t="s">
        <v>834</v>
      </c>
      <c r="H342" s="263" t="s">
        <v>200</v>
      </c>
      <c r="I342" s="263" t="s">
        <v>801</v>
      </c>
      <c r="J342" s="263">
        <v>1</v>
      </c>
      <c r="K342" s="262" t="s">
        <v>1059</v>
      </c>
      <c r="L342" s="263" t="s">
        <v>200</v>
      </c>
      <c r="V342" s="265" t="s">
        <v>34</v>
      </c>
      <c r="W342" s="265">
        <v>1000</v>
      </c>
      <c r="X342" s="265">
        <v>20</v>
      </c>
      <c r="AE342" s="263" t="s">
        <v>675</v>
      </c>
      <c r="AF342" s="263" t="s">
        <v>35</v>
      </c>
      <c r="AG342" s="263" t="s">
        <v>864</v>
      </c>
      <c r="AI342" s="48"/>
      <c r="AJ342" s="48"/>
      <c r="AK342" s="48"/>
      <c r="AL342" s="48"/>
    </row>
    <row r="343" spans="1:38" s="263" customFormat="1" ht="13.5" customHeight="1">
      <c r="A343" s="275">
        <v>1905</v>
      </c>
      <c r="B343" s="263" t="s">
        <v>1051</v>
      </c>
      <c r="C343" s="263" t="s">
        <v>200</v>
      </c>
      <c r="D343" s="263" t="s">
        <v>200</v>
      </c>
      <c r="E343" s="260" t="s">
        <v>200</v>
      </c>
      <c r="F343" s="263" t="s">
        <v>200</v>
      </c>
      <c r="G343" s="263" t="s">
        <v>834</v>
      </c>
      <c r="H343" s="263" t="s">
        <v>200</v>
      </c>
      <c r="I343" s="263" t="s">
        <v>801</v>
      </c>
      <c r="J343" s="263">
        <v>1</v>
      </c>
      <c r="K343" s="262" t="s">
        <v>1060</v>
      </c>
      <c r="L343" s="263" t="s">
        <v>200</v>
      </c>
      <c r="V343" s="265" t="s">
        <v>34</v>
      </c>
      <c r="W343" s="265">
        <v>2500</v>
      </c>
      <c r="X343" s="265">
        <v>50</v>
      </c>
      <c r="AA343" s="265"/>
      <c r="AE343" s="263" t="s">
        <v>675</v>
      </c>
      <c r="AF343" s="263" t="s">
        <v>35</v>
      </c>
      <c r="AG343" s="263" t="s">
        <v>864</v>
      </c>
      <c r="AI343" s="48"/>
      <c r="AJ343" s="48"/>
      <c r="AK343" s="48"/>
      <c r="AL343" s="48"/>
    </row>
    <row r="344" spans="1:38" s="263" customFormat="1" ht="13.5" customHeight="1">
      <c r="A344" s="275">
        <v>1908</v>
      </c>
      <c r="B344" s="263" t="s">
        <v>1051</v>
      </c>
      <c r="C344" s="263" t="s">
        <v>200</v>
      </c>
      <c r="D344" s="263" t="s">
        <v>200</v>
      </c>
      <c r="E344" s="260" t="s">
        <v>200</v>
      </c>
      <c r="F344" s="263" t="s">
        <v>200</v>
      </c>
      <c r="G344" s="263" t="s">
        <v>834</v>
      </c>
      <c r="H344" s="263" t="s">
        <v>200</v>
      </c>
      <c r="I344" s="263" t="s">
        <v>801</v>
      </c>
      <c r="J344" s="263">
        <v>1</v>
      </c>
      <c r="K344" s="262" t="s">
        <v>1061</v>
      </c>
      <c r="L344" s="263" t="s">
        <v>200</v>
      </c>
      <c r="V344" s="265" t="s">
        <v>34</v>
      </c>
      <c r="W344" s="265">
        <v>1250</v>
      </c>
      <c r="X344" s="265">
        <v>25</v>
      </c>
      <c r="AE344" s="263" t="s">
        <v>675</v>
      </c>
      <c r="AF344" s="263" t="s">
        <v>35</v>
      </c>
      <c r="AG344" s="263" t="s">
        <v>864</v>
      </c>
      <c r="AI344" s="48"/>
      <c r="AJ344" s="48"/>
      <c r="AK344" s="48"/>
      <c r="AL344" s="48"/>
    </row>
    <row r="345" spans="1:38" s="263" customFormat="1" ht="15" customHeight="1">
      <c r="A345" s="275">
        <v>1909</v>
      </c>
      <c r="B345" s="263" t="s">
        <v>1051</v>
      </c>
      <c r="C345" s="263" t="s">
        <v>200</v>
      </c>
      <c r="D345" s="263" t="s">
        <v>200</v>
      </c>
      <c r="E345" s="260" t="s">
        <v>200</v>
      </c>
      <c r="F345" s="263" t="s">
        <v>200</v>
      </c>
      <c r="G345" s="263" t="s">
        <v>834</v>
      </c>
      <c r="H345" s="263" t="s">
        <v>200</v>
      </c>
      <c r="I345" s="263" t="s">
        <v>801</v>
      </c>
      <c r="J345" s="263">
        <v>1</v>
      </c>
      <c r="K345" s="262" t="s">
        <v>1062</v>
      </c>
      <c r="L345" s="263" t="s">
        <v>200</v>
      </c>
      <c r="V345" s="265" t="s">
        <v>34</v>
      </c>
      <c r="W345" s="265">
        <v>2000</v>
      </c>
      <c r="X345" s="265">
        <v>40</v>
      </c>
      <c r="AE345" s="263" t="s">
        <v>675</v>
      </c>
      <c r="AF345" s="263" t="s">
        <v>35</v>
      </c>
      <c r="AG345" s="263" t="s">
        <v>864</v>
      </c>
      <c r="AI345" s="48"/>
      <c r="AJ345" s="48"/>
      <c r="AK345" s="48"/>
      <c r="AL345" s="48"/>
    </row>
    <row r="346" spans="1:38" s="263" customFormat="1" ht="13.5" customHeight="1">
      <c r="A346" s="275">
        <v>1910</v>
      </c>
      <c r="B346" s="260" t="s">
        <v>1051</v>
      </c>
      <c r="C346" s="263" t="s">
        <v>200</v>
      </c>
      <c r="D346" s="263" t="s">
        <v>200</v>
      </c>
      <c r="E346" s="260" t="s">
        <v>200</v>
      </c>
      <c r="F346" s="263" t="s">
        <v>200</v>
      </c>
      <c r="G346" s="263" t="s">
        <v>834</v>
      </c>
      <c r="H346" s="263" t="s">
        <v>200</v>
      </c>
      <c r="I346" s="263" t="s">
        <v>801</v>
      </c>
      <c r="J346" s="263">
        <v>1</v>
      </c>
      <c r="K346" s="260" t="s">
        <v>1063</v>
      </c>
      <c r="L346" s="263" t="s">
        <v>200</v>
      </c>
      <c r="M346" s="260"/>
      <c r="N346" s="260"/>
      <c r="O346" s="260"/>
      <c r="P346" s="260"/>
      <c r="Q346" s="260"/>
      <c r="R346" s="260"/>
      <c r="S346" s="260"/>
      <c r="T346" s="260"/>
      <c r="U346" s="260"/>
      <c r="V346" s="265" t="s">
        <v>34</v>
      </c>
      <c r="W346" s="307">
        <v>3017</v>
      </c>
      <c r="X346" s="265">
        <v>57.59</v>
      </c>
      <c r="Y346" s="260"/>
      <c r="Z346" s="270"/>
      <c r="AA346" s="260"/>
      <c r="AE346" s="263">
        <v>220907</v>
      </c>
      <c r="AF346" s="263" t="s">
        <v>35</v>
      </c>
      <c r="AG346" s="263" t="s">
        <v>864</v>
      </c>
      <c r="AI346" s="48"/>
      <c r="AJ346" s="48"/>
      <c r="AK346" s="48"/>
      <c r="AL346" s="48"/>
    </row>
    <row r="347" spans="1:38">
      <c r="A347" s="275">
        <v>1911</v>
      </c>
      <c r="B347" s="263" t="s">
        <v>1051</v>
      </c>
      <c r="C347" s="263" t="s">
        <v>200</v>
      </c>
      <c r="D347" s="263" t="s">
        <v>200</v>
      </c>
      <c r="E347" s="260" t="s">
        <v>200</v>
      </c>
      <c r="F347" s="263" t="s">
        <v>200</v>
      </c>
      <c r="G347" s="263" t="s">
        <v>834</v>
      </c>
      <c r="H347" s="263" t="s">
        <v>200</v>
      </c>
      <c r="I347" s="263" t="s">
        <v>801</v>
      </c>
      <c r="J347" s="263">
        <v>1</v>
      </c>
      <c r="K347" s="263" t="s">
        <v>1064</v>
      </c>
      <c r="L347" s="263" t="s">
        <v>200</v>
      </c>
      <c r="M347" s="263"/>
      <c r="N347" s="263"/>
      <c r="O347" s="263"/>
      <c r="P347" s="263"/>
      <c r="Q347" s="263"/>
      <c r="R347" s="263"/>
      <c r="S347" s="263"/>
      <c r="T347" s="263"/>
      <c r="U347" s="263"/>
      <c r="V347" s="265" t="s">
        <v>34</v>
      </c>
      <c r="W347" s="265">
        <v>552</v>
      </c>
      <c r="X347" s="265">
        <v>10.54</v>
      </c>
      <c r="Y347" s="263"/>
      <c r="Z347" s="267"/>
      <c r="AA347" s="263"/>
      <c r="AB347" s="263"/>
      <c r="AC347" s="263"/>
      <c r="AD347" s="263"/>
      <c r="AE347" s="263">
        <v>220224</v>
      </c>
      <c r="AF347" s="263" t="s">
        <v>35</v>
      </c>
      <c r="AG347" s="263" t="s">
        <v>1065</v>
      </c>
      <c r="AH347" s="263"/>
    </row>
    <row r="348" spans="1:38" s="263" customFormat="1" ht="15" customHeight="1">
      <c r="A348" s="275">
        <v>2100</v>
      </c>
      <c r="B348" s="263" t="s">
        <v>1071</v>
      </c>
      <c r="C348" s="263" t="s">
        <v>200</v>
      </c>
      <c r="D348" s="263" t="s">
        <v>200</v>
      </c>
      <c r="E348" s="260" t="s">
        <v>200</v>
      </c>
      <c r="F348" s="263" t="s">
        <v>200</v>
      </c>
      <c r="G348" s="263" t="s">
        <v>834</v>
      </c>
      <c r="H348" s="263" t="s">
        <v>200</v>
      </c>
      <c r="I348" s="263" t="s">
        <v>801</v>
      </c>
      <c r="J348" s="263" t="s">
        <v>200</v>
      </c>
      <c r="K348" s="263">
        <v>1701278208</v>
      </c>
      <c r="L348" s="263" t="s">
        <v>200</v>
      </c>
      <c r="V348" s="265" t="s">
        <v>34</v>
      </c>
      <c r="W348" s="265"/>
      <c r="X348" s="265"/>
      <c r="AE348" s="263" t="s">
        <v>675</v>
      </c>
      <c r="AF348" s="263" t="s">
        <v>35</v>
      </c>
      <c r="AG348" s="263" t="s">
        <v>964</v>
      </c>
      <c r="AI348" s="48"/>
      <c r="AJ348" s="48"/>
      <c r="AK348" s="48"/>
      <c r="AL348" s="48"/>
    </row>
    <row r="349" spans="1:38" s="263" customFormat="1" ht="15" customHeight="1">
      <c r="A349" s="275">
        <v>2101</v>
      </c>
      <c r="B349" s="263" t="s">
        <v>1071</v>
      </c>
      <c r="C349" s="263" t="s">
        <v>200</v>
      </c>
      <c r="D349" s="263" t="s">
        <v>200</v>
      </c>
      <c r="E349" s="260" t="s">
        <v>200</v>
      </c>
      <c r="F349" s="263" t="s">
        <v>200</v>
      </c>
      <c r="G349" s="263" t="s">
        <v>834</v>
      </c>
      <c r="H349" s="263" t="s">
        <v>200</v>
      </c>
      <c r="I349" s="263" t="s">
        <v>801</v>
      </c>
      <c r="J349" s="263" t="s">
        <v>200</v>
      </c>
      <c r="K349" s="263">
        <v>1702204311</v>
      </c>
      <c r="L349" s="263" t="s">
        <v>200</v>
      </c>
      <c r="V349" s="265" t="s">
        <v>34</v>
      </c>
      <c r="W349" s="265"/>
      <c r="X349" s="265"/>
      <c r="AE349" s="263" t="s">
        <v>675</v>
      </c>
      <c r="AF349" s="263" t="s">
        <v>35</v>
      </c>
      <c r="AG349" s="263" t="s">
        <v>964</v>
      </c>
      <c r="AI349" s="48"/>
      <c r="AJ349" s="48"/>
      <c r="AK349" s="48"/>
      <c r="AL349" s="48"/>
    </row>
    <row r="350" spans="1:38" s="263" customFormat="1" ht="15" customHeight="1">
      <c r="A350" s="275">
        <v>2102</v>
      </c>
      <c r="B350" s="263" t="s">
        <v>1071</v>
      </c>
      <c r="C350" s="263" t="s">
        <v>200</v>
      </c>
      <c r="D350" s="263" t="s">
        <v>200</v>
      </c>
      <c r="E350" s="260" t="s">
        <v>200</v>
      </c>
      <c r="F350" s="263" t="s">
        <v>200</v>
      </c>
      <c r="G350" s="263" t="s">
        <v>834</v>
      </c>
      <c r="H350" s="263" t="s">
        <v>200</v>
      </c>
      <c r="I350" s="263" t="s">
        <v>801</v>
      </c>
      <c r="J350" s="263" t="s">
        <v>200</v>
      </c>
      <c r="L350" s="263" t="s">
        <v>200</v>
      </c>
      <c r="V350" s="265" t="s">
        <v>34</v>
      </c>
      <c r="W350" s="265"/>
      <c r="X350" s="265"/>
      <c r="AE350" s="263" t="s">
        <v>675</v>
      </c>
      <c r="AF350" s="263" t="s">
        <v>35</v>
      </c>
      <c r="AG350" s="263" t="s">
        <v>964</v>
      </c>
      <c r="AI350" s="48"/>
      <c r="AJ350" s="48"/>
      <c r="AK350" s="48"/>
      <c r="AL350" s="48"/>
    </row>
    <row r="351" spans="1:38" s="263" customFormat="1" ht="15" customHeight="1">
      <c r="A351" s="275">
        <v>2100</v>
      </c>
      <c r="B351" s="263" t="s">
        <v>1071</v>
      </c>
      <c r="C351" s="263" t="s">
        <v>200</v>
      </c>
      <c r="D351" s="263" t="s">
        <v>200</v>
      </c>
      <c r="E351" s="260" t="s">
        <v>200</v>
      </c>
      <c r="F351" s="263" t="s">
        <v>200</v>
      </c>
      <c r="G351" s="263" t="s">
        <v>834</v>
      </c>
      <c r="H351" s="263" t="s">
        <v>200</v>
      </c>
      <c r="I351" s="263" t="s">
        <v>801</v>
      </c>
      <c r="J351" s="263">
        <v>1</v>
      </c>
      <c r="K351" s="263">
        <v>1701278208</v>
      </c>
      <c r="L351" s="263" t="s">
        <v>200</v>
      </c>
      <c r="V351" s="265" t="s">
        <v>34</v>
      </c>
      <c r="W351" s="265">
        <v>24600</v>
      </c>
      <c r="X351" s="265">
        <v>492</v>
      </c>
      <c r="AE351" s="263" t="s">
        <v>675</v>
      </c>
      <c r="AF351" s="263" t="s">
        <v>35</v>
      </c>
      <c r="AG351" s="263" t="s">
        <v>964</v>
      </c>
      <c r="AI351" s="48"/>
      <c r="AJ351" s="48"/>
      <c r="AK351" s="48"/>
      <c r="AL351" s="48"/>
    </row>
    <row r="352" spans="1:38" s="263" customFormat="1" ht="15" customHeight="1">
      <c r="A352" s="275">
        <v>2101</v>
      </c>
      <c r="B352" s="263" t="s">
        <v>1071</v>
      </c>
      <c r="C352" s="263" t="s">
        <v>200</v>
      </c>
      <c r="D352" s="263" t="s">
        <v>200</v>
      </c>
      <c r="E352" s="260" t="s">
        <v>200</v>
      </c>
      <c r="F352" s="263" t="s">
        <v>200</v>
      </c>
      <c r="G352" s="263" t="s">
        <v>834</v>
      </c>
      <c r="H352" s="263" t="s">
        <v>200</v>
      </c>
      <c r="I352" s="263" t="s">
        <v>801</v>
      </c>
      <c r="J352" s="263">
        <v>1</v>
      </c>
      <c r="K352" s="263">
        <v>1702204311</v>
      </c>
      <c r="L352" s="263" t="s">
        <v>200</v>
      </c>
      <c r="V352" s="265" t="s">
        <v>34</v>
      </c>
      <c r="W352" s="265">
        <v>1800</v>
      </c>
      <c r="X352" s="265">
        <v>36</v>
      </c>
      <c r="AE352" s="263" t="s">
        <v>675</v>
      </c>
      <c r="AF352" s="263" t="s">
        <v>35</v>
      </c>
      <c r="AG352" s="263" t="s">
        <v>964</v>
      </c>
      <c r="AI352" s="48"/>
      <c r="AJ352" s="48"/>
      <c r="AK352" s="48"/>
      <c r="AL352" s="48"/>
    </row>
    <row r="353" spans="1:38" s="263" customFormat="1" ht="15" customHeight="1">
      <c r="A353" s="275">
        <v>2105</v>
      </c>
      <c r="B353" s="263" t="s">
        <v>1071</v>
      </c>
      <c r="C353" s="263" t="s">
        <v>200</v>
      </c>
      <c r="D353" s="263" t="s">
        <v>200</v>
      </c>
      <c r="E353" s="260" t="s">
        <v>200</v>
      </c>
      <c r="F353" s="263" t="s">
        <v>200</v>
      </c>
      <c r="G353" s="263" t="s">
        <v>834</v>
      </c>
      <c r="H353" s="263" t="s">
        <v>200</v>
      </c>
      <c r="I353" s="263" t="s">
        <v>801</v>
      </c>
      <c r="J353" s="263">
        <v>1</v>
      </c>
      <c r="L353" s="263" t="s">
        <v>200</v>
      </c>
      <c r="V353" s="265" t="s">
        <v>34</v>
      </c>
      <c r="W353" s="265">
        <v>600</v>
      </c>
      <c r="X353" s="265">
        <v>12</v>
      </c>
      <c r="AE353" s="263" t="s">
        <v>675</v>
      </c>
      <c r="AF353" s="263" t="s">
        <v>35</v>
      </c>
      <c r="AG353" s="263" t="s">
        <v>964</v>
      </c>
      <c r="AI353" s="48"/>
      <c r="AJ353" s="48"/>
      <c r="AK353" s="48"/>
      <c r="AL353" s="48"/>
    </row>
    <row r="354" spans="1:38" s="263" customFormat="1" ht="15" customHeight="1">
      <c r="A354" s="275">
        <v>2103</v>
      </c>
      <c r="B354" s="263" t="s">
        <v>1072</v>
      </c>
      <c r="C354" s="263" t="s">
        <v>200</v>
      </c>
      <c r="D354" s="263" t="s">
        <v>200</v>
      </c>
      <c r="E354" s="260" t="s">
        <v>200</v>
      </c>
      <c r="F354" s="263" t="s">
        <v>200</v>
      </c>
      <c r="G354" s="263" t="s">
        <v>834</v>
      </c>
      <c r="H354" s="263" t="s">
        <v>200</v>
      </c>
      <c r="I354" s="263" t="s">
        <v>801</v>
      </c>
      <c r="J354" s="263" t="s">
        <v>200</v>
      </c>
      <c r="K354" s="263">
        <v>1701278210</v>
      </c>
      <c r="L354" s="263" t="s">
        <v>200</v>
      </c>
      <c r="V354" s="265" t="s">
        <v>34</v>
      </c>
      <c r="W354" s="265"/>
      <c r="X354" s="265"/>
      <c r="AE354" s="263" t="s">
        <v>675</v>
      </c>
      <c r="AF354" s="263" t="s">
        <v>35</v>
      </c>
      <c r="AG354" s="263" t="s">
        <v>964</v>
      </c>
      <c r="AI354" s="48"/>
      <c r="AJ354" s="48"/>
      <c r="AK354" s="48"/>
      <c r="AL354" s="48"/>
    </row>
    <row r="355" spans="1:38" s="263" customFormat="1" ht="15" customHeight="1">
      <c r="A355" s="275">
        <v>2104</v>
      </c>
      <c r="B355" s="263" t="s">
        <v>1072</v>
      </c>
      <c r="C355" s="263" t="s">
        <v>200</v>
      </c>
      <c r="D355" s="263" t="s">
        <v>200</v>
      </c>
      <c r="E355" s="260" t="s">
        <v>200</v>
      </c>
      <c r="F355" s="263" t="s">
        <v>200</v>
      </c>
      <c r="G355" s="263" t="s">
        <v>834</v>
      </c>
      <c r="H355" s="263" t="s">
        <v>200</v>
      </c>
      <c r="I355" s="263" t="s">
        <v>801</v>
      </c>
      <c r="J355" s="263" t="s">
        <v>200</v>
      </c>
      <c r="L355" s="263" t="s">
        <v>200</v>
      </c>
      <c r="V355" s="265" t="s">
        <v>34</v>
      </c>
      <c r="W355" s="265"/>
      <c r="X355" s="265"/>
      <c r="AE355" s="263" t="s">
        <v>675</v>
      </c>
      <c r="AF355" s="263" t="s">
        <v>35</v>
      </c>
      <c r="AG355" s="263" t="s">
        <v>964</v>
      </c>
      <c r="AI355" s="48"/>
      <c r="AJ355" s="48"/>
      <c r="AK355" s="48"/>
      <c r="AL355" s="48"/>
    </row>
    <row r="356" spans="1:38" s="263" customFormat="1">
      <c r="A356" s="316">
        <v>1107</v>
      </c>
      <c r="B356" s="320" t="s">
        <v>395</v>
      </c>
      <c r="C356" s="317" t="s">
        <v>200</v>
      </c>
      <c r="D356" s="317" t="s">
        <v>200</v>
      </c>
      <c r="E356" s="260" t="s">
        <v>200</v>
      </c>
      <c r="F356" s="317" t="s">
        <v>200</v>
      </c>
      <c r="G356" s="317" t="s">
        <v>834</v>
      </c>
      <c r="H356" s="317" t="s">
        <v>200</v>
      </c>
      <c r="I356" s="317" t="s">
        <v>801</v>
      </c>
      <c r="J356" s="317">
        <v>1</v>
      </c>
      <c r="K356" s="317" t="s">
        <v>907</v>
      </c>
      <c r="L356" s="317" t="s">
        <v>200</v>
      </c>
      <c r="M356" s="318" t="s">
        <v>1073</v>
      </c>
      <c r="N356" s="318"/>
      <c r="O356" s="318"/>
      <c r="P356" s="318"/>
      <c r="Q356" s="318"/>
      <c r="R356" s="318"/>
      <c r="S356" s="317" t="s">
        <v>118</v>
      </c>
      <c r="T356" s="317" t="s">
        <v>118</v>
      </c>
      <c r="U356" s="317" t="s">
        <v>258</v>
      </c>
      <c r="V356" s="319" t="s">
        <v>34</v>
      </c>
      <c r="W356" s="319"/>
      <c r="X356" s="319">
        <v>0</v>
      </c>
      <c r="Y356" s="317"/>
      <c r="Z356" s="317"/>
      <c r="AA356" s="317"/>
      <c r="AB356" s="317"/>
      <c r="AC356" s="317"/>
      <c r="AD356" s="317"/>
      <c r="AE356" s="317">
        <v>220902</v>
      </c>
      <c r="AF356" s="317" t="s">
        <v>360</v>
      </c>
      <c r="AG356" s="317" t="s">
        <v>761</v>
      </c>
      <c r="AH356" s="317"/>
      <c r="AI356" s="48"/>
      <c r="AJ356" s="48"/>
      <c r="AK356" s="48"/>
      <c r="AL356" s="48"/>
    </row>
    <row r="357" spans="1:38" s="317" customFormat="1">
      <c r="A357" s="316">
        <v>1111</v>
      </c>
      <c r="B357" s="320" t="s">
        <v>395</v>
      </c>
      <c r="C357" s="317" t="s">
        <v>200</v>
      </c>
      <c r="D357" s="317" t="s">
        <v>200</v>
      </c>
      <c r="E357" s="260" t="s">
        <v>200</v>
      </c>
      <c r="F357" s="317" t="s">
        <v>200</v>
      </c>
      <c r="G357" s="317" t="s">
        <v>834</v>
      </c>
      <c r="H357" s="317" t="s">
        <v>200</v>
      </c>
      <c r="I357" s="317" t="s">
        <v>801</v>
      </c>
      <c r="J357" s="317">
        <v>1</v>
      </c>
      <c r="K357" s="317" t="s">
        <v>1047</v>
      </c>
      <c r="L357" s="317" t="s">
        <v>200</v>
      </c>
      <c r="M357" s="316">
        <v>183459802956</v>
      </c>
      <c r="S357" s="317" t="s">
        <v>118</v>
      </c>
      <c r="T357" s="317" t="s">
        <v>118</v>
      </c>
      <c r="U357" s="317" t="s">
        <v>258</v>
      </c>
      <c r="V357" s="319" t="s">
        <v>34</v>
      </c>
      <c r="W357" s="319">
        <v>3250</v>
      </c>
      <c r="X357" s="319">
        <v>65</v>
      </c>
      <c r="AE357" s="317" t="s">
        <v>675</v>
      </c>
      <c r="AF357" s="317" t="s">
        <v>35</v>
      </c>
      <c r="AG357" s="317" t="s">
        <v>985</v>
      </c>
    </row>
    <row r="358" spans="1:38" s="317" customFormat="1">
      <c r="A358" s="316">
        <v>1113</v>
      </c>
      <c r="B358" s="320" t="s">
        <v>395</v>
      </c>
      <c r="C358" s="317" t="s">
        <v>200</v>
      </c>
      <c r="D358" s="317" t="s">
        <v>200</v>
      </c>
      <c r="E358" s="260" t="s">
        <v>200</v>
      </c>
      <c r="F358" s="317" t="s">
        <v>200</v>
      </c>
      <c r="G358" s="317" t="s">
        <v>834</v>
      </c>
      <c r="H358" s="317" t="s">
        <v>200</v>
      </c>
      <c r="I358" s="317" t="s">
        <v>801</v>
      </c>
      <c r="J358" s="317">
        <v>1</v>
      </c>
      <c r="K358" s="317" t="s">
        <v>397</v>
      </c>
      <c r="L358" s="317" t="s">
        <v>200</v>
      </c>
      <c r="M358" s="316">
        <v>193467805219</v>
      </c>
      <c r="S358" s="317" t="s">
        <v>118</v>
      </c>
      <c r="T358" s="317" t="s">
        <v>118</v>
      </c>
      <c r="U358" s="317" t="s">
        <v>258</v>
      </c>
      <c r="V358" s="319" t="s">
        <v>34</v>
      </c>
      <c r="W358" s="319">
        <v>3250</v>
      </c>
      <c r="X358" s="319">
        <v>65</v>
      </c>
      <c r="AE358" s="317">
        <v>191113</v>
      </c>
      <c r="AF358" s="317" t="s">
        <v>35</v>
      </c>
      <c r="AG358" s="317" t="s">
        <v>764</v>
      </c>
    </row>
    <row r="359" spans="1:38" s="317" customFormat="1">
      <c r="A359" s="316">
        <v>1114</v>
      </c>
      <c r="B359" s="320" t="s">
        <v>395</v>
      </c>
      <c r="C359" s="317" t="s">
        <v>200</v>
      </c>
      <c r="D359" s="317" t="s">
        <v>200</v>
      </c>
      <c r="E359" s="260" t="s">
        <v>200</v>
      </c>
      <c r="F359" s="317" t="s">
        <v>200</v>
      </c>
      <c r="G359" s="317" t="s">
        <v>834</v>
      </c>
      <c r="H359" s="317" t="s">
        <v>200</v>
      </c>
      <c r="I359" s="317" t="s">
        <v>801</v>
      </c>
      <c r="J359" s="317">
        <v>1</v>
      </c>
      <c r="K359" s="317" t="s">
        <v>1074</v>
      </c>
      <c r="L359" s="317" t="s">
        <v>200</v>
      </c>
      <c r="M359" s="316" t="s">
        <v>398</v>
      </c>
      <c r="S359" s="317" t="s">
        <v>118</v>
      </c>
      <c r="T359" s="317" t="s">
        <v>118</v>
      </c>
      <c r="U359" s="317" t="s">
        <v>258</v>
      </c>
      <c r="V359" s="319" t="s">
        <v>34</v>
      </c>
      <c r="W359" s="319">
        <v>3250</v>
      </c>
      <c r="X359" s="319">
        <v>65</v>
      </c>
      <c r="AE359" s="317">
        <v>191113</v>
      </c>
      <c r="AF359" s="317" t="s">
        <v>35</v>
      </c>
      <c r="AG359" s="317" t="s">
        <v>764</v>
      </c>
    </row>
    <row r="360" spans="1:38" s="317" customFormat="1">
      <c r="A360" s="316">
        <v>1115</v>
      </c>
      <c r="B360" s="320" t="s">
        <v>395</v>
      </c>
      <c r="C360" s="317" t="s">
        <v>200</v>
      </c>
      <c r="D360" s="317" t="s">
        <v>200</v>
      </c>
      <c r="E360" s="260" t="s">
        <v>200</v>
      </c>
      <c r="F360" s="317" t="s">
        <v>200</v>
      </c>
      <c r="G360" s="317" t="s">
        <v>834</v>
      </c>
      <c r="H360" s="317" t="s">
        <v>200</v>
      </c>
      <c r="I360" s="317" t="s">
        <v>801</v>
      </c>
      <c r="J360" s="317">
        <v>1</v>
      </c>
      <c r="K360" s="317" t="s">
        <v>397</v>
      </c>
      <c r="L360" s="317" t="s">
        <v>200</v>
      </c>
      <c r="M360" s="316" t="s">
        <v>1075</v>
      </c>
      <c r="S360" s="317" t="s">
        <v>118</v>
      </c>
      <c r="T360" s="317" t="s">
        <v>118</v>
      </c>
      <c r="U360" s="317" t="s">
        <v>258</v>
      </c>
      <c r="V360" s="319" t="s">
        <v>34</v>
      </c>
      <c r="W360" s="319">
        <v>3250</v>
      </c>
      <c r="X360" s="319">
        <v>65</v>
      </c>
      <c r="AE360" s="317">
        <v>191113</v>
      </c>
      <c r="AF360" s="317" t="s">
        <v>35</v>
      </c>
      <c r="AG360" s="317" t="s">
        <v>764</v>
      </c>
    </row>
    <row r="361" spans="1:38" s="317" customFormat="1">
      <c r="A361" s="316">
        <v>1116</v>
      </c>
      <c r="B361" s="320" t="s">
        <v>395</v>
      </c>
      <c r="C361" s="317" t="s">
        <v>200</v>
      </c>
      <c r="D361" s="317" t="s">
        <v>200</v>
      </c>
      <c r="E361" s="260" t="s">
        <v>200</v>
      </c>
      <c r="F361" s="317" t="s">
        <v>200</v>
      </c>
      <c r="G361" s="317" t="s">
        <v>834</v>
      </c>
      <c r="H361" s="317" t="s">
        <v>200</v>
      </c>
      <c r="I361" s="317" t="s">
        <v>801</v>
      </c>
      <c r="J361" s="317">
        <v>1</v>
      </c>
      <c r="K361" s="317" t="s">
        <v>397</v>
      </c>
      <c r="L361" s="317" t="s">
        <v>200</v>
      </c>
      <c r="M361" s="316" t="s">
        <v>1076</v>
      </c>
      <c r="S361" s="317" t="s">
        <v>118</v>
      </c>
      <c r="T361" s="317" t="s">
        <v>118</v>
      </c>
      <c r="U361" s="317" t="s">
        <v>258</v>
      </c>
      <c r="V361" s="319" t="s">
        <v>34</v>
      </c>
      <c r="W361" s="319">
        <v>3250</v>
      </c>
      <c r="X361" s="319">
        <v>65</v>
      </c>
      <c r="AE361" s="317">
        <v>191113</v>
      </c>
      <c r="AF361" s="317" t="s">
        <v>35</v>
      </c>
      <c r="AG361" s="317" t="s">
        <v>764</v>
      </c>
    </row>
    <row r="362" spans="1:38" s="317" customFormat="1">
      <c r="A362" s="316">
        <v>1118</v>
      </c>
      <c r="B362" s="320" t="s">
        <v>395</v>
      </c>
      <c r="C362" s="317" t="s">
        <v>200</v>
      </c>
      <c r="D362" s="317" t="s">
        <v>200</v>
      </c>
      <c r="E362" s="260" t="s">
        <v>200</v>
      </c>
      <c r="F362" s="317" t="s">
        <v>200</v>
      </c>
      <c r="G362" s="317" t="s">
        <v>834</v>
      </c>
      <c r="H362" s="317" t="s">
        <v>200</v>
      </c>
      <c r="I362" s="317" t="s">
        <v>801</v>
      </c>
      <c r="J362" s="317">
        <v>1</v>
      </c>
      <c r="K362" s="317" t="s">
        <v>1077</v>
      </c>
      <c r="L362" s="317" t="s">
        <v>200</v>
      </c>
      <c r="M362" s="317" t="s">
        <v>1078</v>
      </c>
      <c r="S362" s="317" t="s">
        <v>118</v>
      </c>
      <c r="T362" s="317" t="s">
        <v>118</v>
      </c>
      <c r="U362" s="317" t="s">
        <v>295</v>
      </c>
      <c r="V362" s="319" t="s">
        <v>34</v>
      </c>
      <c r="W362" s="319">
        <v>2500</v>
      </c>
      <c r="X362" s="319">
        <v>50</v>
      </c>
      <c r="AE362" s="317" t="s">
        <v>675</v>
      </c>
      <c r="AF362" s="317" t="s">
        <v>35</v>
      </c>
      <c r="AG362" s="317" t="s">
        <v>985</v>
      </c>
    </row>
    <row r="363" spans="1:38" s="317" customFormat="1">
      <c r="A363" s="316">
        <v>1123</v>
      </c>
      <c r="B363" s="320" t="s">
        <v>395</v>
      </c>
      <c r="C363" s="317" t="s">
        <v>200</v>
      </c>
      <c r="D363" s="317" t="s">
        <v>200</v>
      </c>
      <c r="E363" s="260" t="s">
        <v>200</v>
      </c>
      <c r="F363" s="317" t="s">
        <v>200</v>
      </c>
      <c r="G363" s="317" t="s">
        <v>834</v>
      </c>
      <c r="H363" s="317" t="s">
        <v>200</v>
      </c>
      <c r="I363" s="317" t="s">
        <v>801</v>
      </c>
      <c r="J363" s="317">
        <v>1</v>
      </c>
      <c r="K363" s="317" t="s">
        <v>401</v>
      </c>
      <c r="L363" s="317" t="s">
        <v>200</v>
      </c>
      <c r="M363" s="316">
        <v>160310402246</v>
      </c>
      <c r="S363" s="317" t="s">
        <v>118</v>
      </c>
      <c r="T363" s="317" t="s">
        <v>118</v>
      </c>
      <c r="U363" s="317" t="s">
        <v>407</v>
      </c>
      <c r="V363" s="319" t="s">
        <v>34</v>
      </c>
      <c r="W363" s="319">
        <v>3250</v>
      </c>
      <c r="X363" s="319">
        <v>65</v>
      </c>
      <c r="AE363" s="317" t="s">
        <v>675</v>
      </c>
      <c r="AF363" s="317" t="s">
        <v>35</v>
      </c>
      <c r="AG363" s="317" t="s">
        <v>985</v>
      </c>
    </row>
    <row r="364" spans="1:38" s="317" customFormat="1">
      <c r="A364" s="275">
        <v>1302</v>
      </c>
      <c r="B364" s="263" t="s">
        <v>557</v>
      </c>
      <c r="C364" s="263" t="s">
        <v>200</v>
      </c>
      <c r="D364" s="263" t="s">
        <v>200</v>
      </c>
      <c r="E364" s="260" t="s">
        <v>200</v>
      </c>
      <c r="F364" s="263" t="s">
        <v>200</v>
      </c>
      <c r="G364" s="263" t="s">
        <v>834</v>
      </c>
      <c r="H364" s="263" t="s">
        <v>200</v>
      </c>
      <c r="I364" s="263" t="s">
        <v>801</v>
      </c>
      <c r="J364" s="263">
        <v>1</v>
      </c>
      <c r="K364" s="262" t="s">
        <v>1079</v>
      </c>
      <c r="L364" s="263" t="s">
        <v>200</v>
      </c>
      <c r="M364" s="263"/>
      <c r="N364" s="263"/>
      <c r="O364" s="263"/>
      <c r="P364" s="263"/>
      <c r="Q364" s="263"/>
      <c r="R364" s="263"/>
      <c r="S364" s="263"/>
      <c r="T364" s="263"/>
      <c r="U364" s="263"/>
      <c r="V364" s="265" t="s">
        <v>34</v>
      </c>
      <c r="W364" s="265">
        <v>750</v>
      </c>
      <c r="X364" s="265">
        <v>15</v>
      </c>
      <c r="Y364" s="263"/>
      <c r="Z364" s="263"/>
      <c r="AA364" s="263"/>
      <c r="AB364" s="263"/>
      <c r="AC364" s="263"/>
      <c r="AD364" s="263"/>
      <c r="AE364" s="263" t="s">
        <v>675</v>
      </c>
      <c r="AF364" s="263" t="s">
        <v>35</v>
      </c>
      <c r="AG364" s="263" t="s">
        <v>1080</v>
      </c>
      <c r="AH364" s="263"/>
    </row>
    <row r="365" spans="1:38" s="263" customFormat="1">
      <c r="A365" s="275">
        <v>1300</v>
      </c>
      <c r="B365" s="263" t="s">
        <v>557</v>
      </c>
      <c r="C365" s="263" t="s">
        <v>200</v>
      </c>
      <c r="D365" s="263" t="s">
        <v>200</v>
      </c>
      <c r="E365" s="260" t="s">
        <v>200</v>
      </c>
      <c r="F365" s="263" t="s">
        <v>200</v>
      </c>
      <c r="G365" s="263" t="s">
        <v>834</v>
      </c>
      <c r="H365" s="263" t="s">
        <v>200</v>
      </c>
      <c r="I365" s="263" t="s">
        <v>801</v>
      </c>
      <c r="J365" s="263">
        <v>1</v>
      </c>
      <c r="K365" s="262" t="s">
        <v>1081</v>
      </c>
      <c r="L365" s="263" t="s">
        <v>200</v>
      </c>
      <c r="V365" s="265" t="s">
        <v>34</v>
      </c>
      <c r="W365" s="265">
        <v>2500</v>
      </c>
      <c r="X365" s="265">
        <v>50</v>
      </c>
      <c r="AE365" s="263">
        <v>200615</v>
      </c>
      <c r="AF365" s="263" t="s">
        <v>35</v>
      </c>
      <c r="AG365" s="263" t="s">
        <v>864</v>
      </c>
      <c r="AI365" s="48"/>
      <c r="AJ365" s="48"/>
      <c r="AK365" s="48"/>
      <c r="AL365" s="48"/>
    </row>
    <row r="366" spans="1:38" s="263" customFormat="1">
      <c r="A366" s="275">
        <v>1301</v>
      </c>
      <c r="B366" s="263" t="s">
        <v>557</v>
      </c>
      <c r="C366" s="263" t="s">
        <v>200</v>
      </c>
      <c r="D366" s="263" t="s">
        <v>200</v>
      </c>
      <c r="E366" s="260" t="s">
        <v>200</v>
      </c>
      <c r="F366" s="263" t="s">
        <v>200</v>
      </c>
      <c r="G366" s="263" t="s">
        <v>834</v>
      </c>
      <c r="H366" s="263" t="s">
        <v>200</v>
      </c>
      <c r="I366" s="263" t="s">
        <v>801</v>
      </c>
      <c r="J366" s="263">
        <v>1</v>
      </c>
      <c r="K366" s="262" t="s">
        <v>101</v>
      </c>
      <c r="L366" s="263" t="s">
        <v>200</v>
      </c>
      <c r="V366" s="265" t="s">
        <v>34</v>
      </c>
      <c r="W366" s="265">
        <v>2500</v>
      </c>
      <c r="X366" s="265">
        <v>50</v>
      </c>
      <c r="AE366" s="263" t="s">
        <v>675</v>
      </c>
      <c r="AF366" s="263" t="s">
        <v>35</v>
      </c>
      <c r="AG366" s="263" t="s">
        <v>864</v>
      </c>
      <c r="AI366" s="48"/>
      <c r="AJ366" s="48"/>
      <c r="AK366" s="48"/>
      <c r="AL366" s="48"/>
    </row>
    <row r="367" spans="1:38" s="263" customFormat="1">
      <c r="A367" s="275">
        <v>1303</v>
      </c>
      <c r="B367" s="263" t="s">
        <v>557</v>
      </c>
      <c r="C367" s="263" t="s">
        <v>200</v>
      </c>
      <c r="D367" s="263" t="s">
        <v>200</v>
      </c>
      <c r="E367" s="260" t="s">
        <v>200</v>
      </c>
      <c r="F367" s="263" t="s">
        <v>200</v>
      </c>
      <c r="G367" s="263" t="s">
        <v>834</v>
      </c>
      <c r="H367" s="263" t="s">
        <v>200</v>
      </c>
      <c r="I367" s="263" t="s">
        <v>801</v>
      </c>
      <c r="J367" s="263">
        <v>1</v>
      </c>
      <c r="K367" s="262" t="s">
        <v>1082</v>
      </c>
      <c r="L367" s="263" t="s">
        <v>200</v>
      </c>
      <c r="V367" s="265" t="s">
        <v>34</v>
      </c>
      <c r="W367" s="265">
        <v>2500</v>
      </c>
      <c r="X367" s="265">
        <v>50</v>
      </c>
      <c r="AE367" s="263" t="s">
        <v>675</v>
      </c>
      <c r="AF367" s="263" t="s">
        <v>35</v>
      </c>
      <c r="AG367" s="263" t="s">
        <v>864</v>
      </c>
      <c r="AI367" s="48"/>
      <c r="AJ367" s="48"/>
      <c r="AK367" s="48"/>
      <c r="AL367" s="48"/>
    </row>
    <row r="368" spans="1:38" s="263" customFormat="1">
      <c r="A368" s="275">
        <v>1304</v>
      </c>
      <c r="B368" s="263" t="s">
        <v>557</v>
      </c>
      <c r="C368" s="263" t="s">
        <v>200</v>
      </c>
      <c r="D368" s="263" t="s">
        <v>200</v>
      </c>
      <c r="E368" s="260" t="s">
        <v>200</v>
      </c>
      <c r="F368" s="263" t="s">
        <v>200</v>
      </c>
      <c r="G368" s="263" t="s">
        <v>834</v>
      </c>
      <c r="H368" s="263" t="s">
        <v>200</v>
      </c>
      <c r="I368" s="263" t="s">
        <v>801</v>
      </c>
      <c r="J368" s="263">
        <v>1</v>
      </c>
      <c r="K368" s="262" t="s">
        <v>102</v>
      </c>
      <c r="L368" s="263" t="s">
        <v>200</v>
      </c>
      <c r="V368" s="265" t="s">
        <v>34</v>
      </c>
      <c r="W368" s="265">
        <v>3000</v>
      </c>
      <c r="X368" s="265">
        <v>60</v>
      </c>
      <c r="AE368" s="263" t="s">
        <v>675</v>
      </c>
      <c r="AF368" s="263" t="s">
        <v>35</v>
      </c>
      <c r="AG368" s="263" t="s">
        <v>864</v>
      </c>
      <c r="AI368" s="48"/>
      <c r="AJ368" s="48"/>
      <c r="AK368" s="48"/>
      <c r="AL368" s="48"/>
    </row>
    <row r="369" spans="1:38" s="263" customFormat="1">
      <c r="A369" s="261">
        <v>511</v>
      </c>
      <c r="B369" s="262" t="s">
        <v>121</v>
      </c>
      <c r="C369" s="262" t="s">
        <v>200</v>
      </c>
      <c r="D369" s="262" t="s">
        <v>200</v>
      </c>
      <c r="E369" s="262" t="s">
        <v>200</v>
      </c>
      <c r="F369" s="260" t="s">
        <v>200</v>
      </c>
      <c r="G369" s="252" t="s">
        <v>834</v>
      </c>
      <c r="H369" s="263" t="s">
        <v>200</v>
      </c>
      <c r="I369" s="262" t="s">
        <v>801</v>
      </c>
      <c r="J369" s="263">
        <v>1</v>
      </c>
      <c r="K369" s="262" t="s">
        <v>44</v>
      </c>
      <c r="L369" s="263" t="s">
        <v>200</v>
      </c>
      <c r="M369" s="262" t="s">
        <v>138</v>
      </c>
      <c r="N369" s="262"/>
      <c r="O369" s="262" t="s">
        <v>128</v>
      </c>
      <c r="P369" s="262"/>
      <c r="Q369" s="262"/>
      <c r="R369" s="262"/>
      <c r="S369" s="262"/>
      <c r="T369" s="262"/>
      <c r="V369" s="262" t="s">
        <v>34</v>
      </c>
      <c r="W369" s="264">
        <v>8000</v>
      </c>
      <c r="X369" s="265">
        <v>8000</v>
      </c>
      <c r="Y369" s="265">
        <v>160</v>
      </c>
      <c r="AE369" s="263" t="s">
        <v>675</v>
      </c>
      <c r="AF369" s="263" t="s">
        <v>35</v>
      </c>
      <c r="AG369" s="263" t="s">
        <v>853</v>
      </c>
      <c r="AI369" s="48"/>
      <c r="AJ369" s="48"/>
      <c r="AK369" s="48"/>
      <c r="AL369" s="48"/>
    </row>
    <row r="370" spans="1:38" s="263" customFormat="1">
      <c r="A370" s="261">
        <v>500</v>
      </c>
      <c r="B370" s="262" t="s">
        <v>121</v>
      </c>
      <c r="C370" s="262" t="s">
        <v>200</v>
      </c>
      <c r="D370" s="262" t="s">
        <v>200</v>
      </c>
      <c r="E370" s="262" t="s">
        <v>200</v>
      </c>
      <c r="F370" s="260" t="s">
        <v>200</v>
      </c>
      <c r="G370" s="252" t="s">
        <v>834</v>
      </c>
      <c r="H370" s="263" t="s">
        <v>200</v>
      </c>
      <c r="I370" s="262" t="s">
        <v>801</v>
      </c>
      <c r="J370" s="263">
        <v>1</v>
      </c>
      <c r="K370" s="262" t="s">
        <v>44</v>
      </c>
      <c r="L370" s="263" t="s">
        <v>200</v>
      </c>
      <c r="M370" s="262" t="s">
        <v>138</v>
      </c>
      <c r="N370" s="262" t="s">
        <v>310</v>
      </c>
      <c r="O370" s="262" t="s">
        <v>128</v>
      </c>
      <c r="P370" s="262"/>
      <c r="Q370" s="262"/>
      <c r="R370" s="262"/>
      <c r="S370" s="262"/>
      <c r="T370" s="262"/>
      <c r="U370" s="262"/>
      <c r="V370" s="262" t="s">
        <v>34</v>
      </c>
      <c r="W370" s="266">
        <v>10000</v>
      </c>
      <c r="X370" s="265">
        <v>10000</v>
      </c>
      <c r="Y370" s="265">
        <v>200</v>
      </c>
      <c r="Z370" s="262"/>
      <c r="AA370" s="267"/>
      <c r="AE370" s="263">
        <v>191113</v>
      </c>
      <c r="AF370" s="263" t="s">
        <v>35</v>
      </c>
      <c r="AG370" s="263" t="s">
        <v>854</v>
      </c>
      <c r="AI370" s="48"/>
      <c r="AJ370" s="48"/>
      <c r="AK370" s="48"/>
      <c r="AL370" s="48"/>
    </row>
    <row r="371" spans="1:38" s="263" customFormat="1">
      <c r="A371" s="261">
        <v>503</v>
      </c>
      <c r="B371" s="262" t="s">
        <v>121</v>
      </c>
      <c r="C371" s="262" t="s">
        <v>200</v>
      </c>
      <c r="D371" s="262" t="s">
        <v>200</v>
      </c>
      <c r="E371" s="262" t="s">
        <v>200</v>
      </c>
      <c r="F371" s="260" t="s">
        <v>200</v>
      </c>
      <c r="G371" s="252" t="s">
        <v>834</v>
      </c>
      <c r="H371" s="263" t="s">
        <v>200</v>
      </c>
      <c r="I371" s="262" t="s">
        <v>801</v>
      </c>
      <c r="J371" s="263">
        <v>1</v>
      </c>
      <c r="K371" s="262" t="s">
        <v>44</v>
      </c>
      <c r="L371" s="263" t="s">
        <v>200</v>
      </c>
      <c r="M371" s="262" t="s">
        <v>126</v>
      </c>
      <c r="N371" s="262" t="s">
        <v>127</v>
      </c>
      <c r="O371" s="262" t="s">
        <v>855</v>
      </c>
      <c r="P371" s="262"/>
      <c r="Q371" s="262"/>
      <c r="R371" s="262"/>
      <c r="S371" s="262"/>
      <c r="T371" s="262"/>
      <c r="U371" s="262"/>
      <c r="V371" s="262" t="s">
        <v>34</v>
      </c>
      <c r="W371" s="264">
        <v>3000</v>
      </c>
      <c r="X371" s="265">
        <v>3000</v>
      </c>
      <c r="Y371" s="265">
        <v>60</v>
      </c>
      <c r="AA371" s="267"/>
      <c r="AE371" s="263">
        <v>220426</v>
      </c>
      <c r="AF371" s="263" t="s">
        <v>35</v>
      </c>
      <c r="AG371" s="263" t="s">
        <v>807</v>
      </c>
      <c r="AI371" s="48"/>
      <c r="AJ371" s="48"/>
      <c r="AK371" s="48"/>
      <c r="AL371" s="48"/>
    </row>
    <row r="372" spans="1:38" s="263" customFormat="1">
      <c r="A372" s="261">
        <v>514</v>
      </c>
      <c r="B372" s="262" t="s">
        <v>121</v>
      </c>
      <c r="C372" s="262" t="s">
        <v>200</v>
      </c>
      <c r="D372" s="262" t="s">
        <v>200</v>
      </c>
      <c r="E372" s="262" t="s">
        <v>200</v>
      </c>
      <c r="F372" s="260" t="s">
        <v>200</v>
      </c>
      <c r="G372" s="252" t="s">
        <v>834</v>
      </c>
      <c r="H372" s="263" t="s">
        <v>200</v>
      </c>
      <c r="I372" s="262" t="s">
        <v>801</v>
      </c>
      <c r="J372" s="263">
        <v>1</v>
      </c>
      <c r="K372" s="262" t="s">
        <v>44</v>
      </c>
      <c r="L372" s="263" t="s">
        <v>200</v>
      </c>
      <c r="M372" s="262" t="s">
        <v>331</v>
      </c>
      <c r="N372" s="262" t="s">
        <v>856</v>
      </c>
      <c r="O372" s="262" t="s">
        <v>128</v>
      </c>
      <c r="P372" s="262"/>
      <c r="Q372" s="262"/>
      <c r="R372" s="262"/>
      <c r="S372" s="262"/>
      <c r="T372" s="262"/>
      <c r="V372" s="262" t="s">
        <v>34</v>
      </c>
      <c r="W372" s="264"/>
      <c r="X372" s="265"/>
      <c r="Y372" s="265"/>
      <c r="AB372" s="268"/>
      <c r="AE372" s="263">
        <v>210423</v>
      </c>
      <c r="AF372" s="262" t="s">
        <v>360</v>
      </c>
      <c r="AG372" s="263" t="s">
        <v>776</v>
      </c>
      <c r="AI372" s="48"/>
      <c r="AJ372" s="48"/>
      <c r="AK372" s="48"/>
      <c r="AL372" s="48"/>
    </row>
    <row r="373" spans="1:38" s="263" customFormat="1">
      <c r="A373" s="261">
        <v>501</v>
      </c>
      <c r="B373" s="262" t="s">
        <v>121</v>
      </c>
      <c r="C373" s="262" t="s">
        <v>200</v>
      </c>
      <c r="D373" s="262" t="s">
        <v>200</v>
      </c>
      <c r="E373" s="262" t="s">
        <v>200</v>
      </c>
      <c r="F373" s="260" t="s">
        <v>200</v>
      </c>
      <c r="G373" s="252" t="s">
        <v>834</v>
      </c>
      <c r="H373" s="263" t="s">
        <v>200</v>
      </c>
      <c r="I373" s="262" t="s">
        <v>801</v>
      </c>
      <c r="J373" s="263">
        <v>1</v>
      </c>
      <c r="K373" s="262" t="s">
        <v>44</v>
      </c>
      <c r="L373" s="263" t="s">
        <v>200</v>
      </c>
      <c r="M373" s="262" t="s">
        <v>138</v>
      </c>
      <c r="N373" s="262" t="s">
        <v>330</v>
      </c>
      <c r="O373" s="262">
        <v>10</v>
      </c>
      <c r="P373" s="262"/>
      <c r="Q373" s="262"/>
      <c r="R373" s="262"/>
      <c r="S373" s="262"/>
      <c r="T373" s="262"/>
      <c r="U373" s="262"/>
      <c r="V373" s="262" t="s">
        <v>34</v>
      </c>
      <c r="W373" s="266">
        <v>5500</v>
      </c>
      <c r="X373" s="265">
        <v>5500</v>
      </c>
      <c r="Y373" s="265">
        <v>110</v>
      </c>
      <c r="Z373" s="262"/>
      <c r="AA373" s="267"/>
      <c r="AE373" s="263">
        <v>220421</v>
      </c>
      <c r="AF373" s="263" t="s">
        <v>35</v>
      </c>
      <c r="AG373" s="263" t="s">
        <v>857</v>
      </c>
      <c r="AI373" s="48"/>
      <c r="AJ373" s="48"/>
      <c r="AK373" s="48"/>
      <c r="AL373" s="48"/>
    </row>
    <row r="374" spans="1:38" s="263" customFormat="1">
      <c r="A374" s="261">
        <v>502</v>
      </c>
      <c r="B374" s="262" t="s">
        <v>121</v>
      </c>
      <c r="C374" s="262" t="s">
        <v>200</v>
      </c>
      <c r="D374" s="262" t="s">
        <v>200</v>
      </c>
      <c r="E374" s="262" t="s">
        <v>200</v>
      </c>
      <c r="F374" s="260" t="s">
        <v>200</v>
      </c>
      <c r="G374" s="252" t="s">
        <v>834</v>
      </c>
      <c r="H374" s="263" t="s">
        <v>200</v>
      </c>
      <c r="I374" s="262" t="s">
        <v>801</v>
      </c>
      <c r="J374" s="263">
        <v>1</v>
      </c>
      <c r="K374" s="262" t="s">
        <v>44</v>
      </c>
      <c r="L374" s="263" t="s">
        <v>200</v>
      </c>
      <c r="M374" s="262" t="s">
        <v>858</v>
      </c>
      <c r="N374" s="262" t="s">
        <v>859</v>
      </c>
      <c r="O374" s="262" t="s">
        <v>314</v>
      </c>
      <c r="P374" s="262"/>
      <c r="Q374" s="262"/>
      <c r="R374" s="262"/>
      <c r="S374" s="262"/>
      <c r="T374" s="262"/>
      <c r="U374" s="262"/>
      <c r="V374" s="262" t="s">
        <v>34</v>
      </c>
      <c r="W374" s="266">
        <v>7500</v>
      </c>
      <c r="X374" s="265">
        <v>7500</v>
      </c>
      <c r="Y374" s="265">
        <v>150</v>
      </c>
      <c r="AE374" s="263">
        <v>221015</v>
      </c>
      <c r="AF374" s="263" t="s">
        <v>35</v>
      </c>
      <c r="AG374" s="263" t="s">
        <v>860</v>
      </c>
      <c r="AI374" s="48"/>
      <c r="AJ374" s="48"/>
      <c r="AK374" s="48"/>
      <c r="AL374" s="48"/>
    </row>
    <row r="375" spans="1:38" s="263" customFormat="1">
      <c r="A375" s="261">
        <v>504</v>
      </c>
      <c r="B375" s="262" t="s">
        <v>121</v>
      </c>
      <c r="C375" s="262" t="s">
        <v>200</v>
      </c>
      <c r="D375" s="262" t="s">
        <v>200</v>
      </c>
      <c r="E375" s="262" t="s">
        <v>200</v>
      </c>
      <c r="F375" s="260" t="s">
        <v>200</v>
      </c>
      <c r="G375" s="252" t="s">
        <v>834</v>
      </c>
      <c r="H375" s="263" t="s">
        <v>200</v>
      </c>
      <c r="I375" s="262" t="s">
        <v>801</v>
      </c>
      <c r="J375" s="263">
        <v>1</v>
      </c>
      <c r="K375" s="262" t="s">
        <v>861</v>
      </c>
      <c r="L375" s="263" t="s">
        <v>200</v>
      </c>
      <c r="M375" s="262" t="s">
        <v>862</v>
      </c>
      <c r="N375" s="262" t="s">
        <v>863</v>
      </c>
      <c r="O375" s="262" t="s">
        <v>314</v>
      </c>
      <c r="P375" s="262"/>
      <c r="Q375" s="262"/>
      <c r="R375" s="262"/>
      <c r="S375" s="262"/>
      <c r="T375" s="262"/>
      <c r="U375" s="262"/>
      <c r="V375" s="262" t="s">
        <v>34</v>
      </c>
      <c r="W375" s="264">
        <v>1000</v>
      </c>
      <c r="X375" s="265">
        <v>1000</v>
      </c>
      <c r="Y375" s="265">
        <v>20</v>
      </c>
      <c r="Z375" s="269"/>
      <c r="AA375" s="267"/>
      <c r="AE375" s="263" t="s">
        <v>675</v>
      </c>
      <c r="AF375" s="263" t="s">
        <v>35</v>
      </c>
      <c r="AG375" s="263" t="s">
        <v>864</v>
      </c>
      <c r="AI375" s="48"/>
      <c r="AJ375" s="48"/>
      <c r="AK375" s="48"/>
      <c r="AL375" s="48"/>
    </row>
    <row r="376" spans="1:38" s="263" customFormat="1">
      <c r="A376" s="261">
        <v>505</v>
      </c>
      <c r="B376" s="262" t="s">
        <v>121</v>
      </c>
      <c r="C376" s="262" t="s">
        <v>200</v>
      </c>
      <c r="D376" s="262" t="s">
        <v>200</v>
      </c>
      <c r="E376" s="262" t="s">
        <v>200</v>
      </c>
      <c r="F376" s="260" t="s">
        <v>200</v>
      </c>
      <c r="G376" s="252" t="s">
        <v>834</v>
      </c>
      <c r="H376" s="263" t="s">
        <v>200</v>
      </c>
      <c r="I376" s="262" t="s">
        <v>801</v>
      </c>
      <c r="J376" s="263">
        <v>1</v>
      </c>
      <c r="K376" s="262" t="s">
        <v>861</v>
      </c>
      <c r="L376" s="263" t="s">
        <v>200</v>
      </c>
      <c r="M376" s="262" t="s">
        <v>862</v>
      </c>
      <c r="N376" s="262" t="s">
        <v>865</v>
      </c>
      <c r="O376" s="262" t="s">
        <v>314</v>
      </c>
      <c r="P376" s="262"/>
      <c r="Q376" s="262"/>
      <c r="R376" s="262"/>
      <c r="S376" s="262"/>
      <c r="T376" s="262"/>
      <c r="U376" s="262"/>
      <c r="V376" s="262" t="s">
        <v>34</v>
      </c>
      <c r="W376" s="264">
        <v>1000</v>
      </c>
      <c r="X376" s="265">
        <v>1000</v>
      </c>
      <c r="Y376" s="265">
        <v>20</v>
      </c>
      <c r="Z376" s="269"/>
      <c r="AA376" s="270"/>
      <c r="AE376" s="263" t="s">
        <v>675</v>
      </c>
      <c r="AF376" s="263" t="s">
        <v>35</v>
      </c>
      <c r="AG376" s="263" t="s">
        <v>864</v>
      </c>
      <c r="AI376" s="48"/>
      <c r="AJ376" s="48"/>
      <c r="AK376" s="48"/>
      <c r="AL376" s="48"/>
    </row>
    <row r="377" spans="1:38" s="263" customFormat="1">
      <c r="A377" s="261">
        <v>506</v>
      </c>
      <c r="B377" s="262" t="s">
        <v>121</v>
      </c>
      <c r="C377" s="262" t="s">
        <v>200</v>
      </c>
      <c r="D377" s="262" t="s">
        <v>200</v>
      </c>
      <c r="E377" s="262" t="s">
        <v>200</v>
      </c>
      <c r="F377" s="260" t="s">
        <v>200</v>
      </c>
      <c r="G377" s="252" t="s">
        <v>834</v>
      </c>
      <c r="H377" s="263" t="s">
        <v>200</v>
      </c>
      <c r="I377" s="262" t="s">
        <v>801</v>
      </c>
      <c r="J377" s="263">
        <v>1</v>
      </c>
      <c r="K377" s="262" t="s">
        <v>866</v>
      </c>
      <c r="L377" s="263" t="s">
        <v>200</v>
      </c>
      <c r="M377" s="262" t="s">
        <v>867</v>
      </c>
      <c r="N377" s="262"/>
      <c r="O377" s="262" t="s">
        <v>868</v>
      </c>
      <c r="P377" s="262"/>
      <c r="Q377" s="262"/>
      <c r="R377" s="262"/>
      <c r="S377" s="262"/>
      <c r="T377" s="262"/>
      <c r="U377" s="262"/>
      <c r="V377" s="262" t="s">
        <v>34</v>
      </c>
      <c r="W377" s="264">
        <v>800</v>
      </c>
      <c r="X377" s="265">
        <v>800</v>
      </c>
      <c r="Y377" s="265">
        <v>16</v>
      </c>
      <c r="Z377" s="269"/>
      <c r="AA377" s="267"/>
      <c r="AE377" s="263" t="s">
        <v>675</v>
      </c>
      <c r="AF377" s="263" t="s">
        <v>35</v>
      </c>
      <c r="AG377" s="263" t="s">
        <v>864</v>
      </c>
      <c r="AI377" s="48"/>
      <c r="AJ377" s="48"/>
      <c r="AK377" s="48"/>
      <c r="AL377" s="48"/>
    </row>
    <row r="378" spans="1:38" s="263" customFormat="1">
      <c r="A378" s="261">
        <v>507</v>
      </c>
      <c r="B378" s="262" t="s">
        <v>121</v>
      </c>
      <c r="C378" s="262" t="s">
        <v>200</v>
      </c>
      <c r="D378" s="262" t="s">
        <v>200</v>
      </c>
      <c r="E378" s="262" t="s">
        <v>200</v>
      </c>
      <c r="F378" s="260" t="s">
        <v>200</v>
      </c>
      <c r="G378" s="252" t="s">
        <v>834</v>
      </c>
      <c r="H378" s="263" t="s">
        <v>200</v>
      </c>
      <c r="I378" s="262" t="s">
        <v>801</v>
      </c>
      <c r="J378" s="263">
        <v>1</v>
      </c>
      <c r="K378" s="262" t="s">
        <v>869</v>
      </c>
      <c r="L378" s="263" t="s">
        <v>200</v>
      </c>
      <c r="M378" s="262" t="s">
        <v>870</v>
      </c>
      <c r="N378" s="262" t="s">
        <v>871</v>
      </c>
      <c r="O378" s="262" t="s">
        <v>872</v>
      </c>
      <c r="P378" s="262"/>
      <c r="Q378" s="262"/>
      <c r="R378" s="262"/>
      <c r="S378" s="262"/>
      <c r="T378" s="262"/>
      <c r="V378" s="262" t="s">
        <v>34</v>
      </c>
      <c r="W378" s="264">
        <v>1000</v>
      </c>
      <c r="X378" s="265">
        <v>1000</v>
      </c>
      <c r="Y378" s="265">
        <v>20</v>
      </c>
      <c r="Z378" s="269"/>
      <c r="AA378" s="267"/>
      <c r="AE378" s="263" t="s">
        <v>675</v>
      </c>
      <c r="AF378" s="263" t="s">
        <v>35</v>
      </c>
      <c r="AG378" s="263" t="s">
        <v>864</v>
      </c>
      <c r="AI378" s="48"/>
      <c r="AJ378" s="48"/>
      <c r="AK378" s="48"/>
      <c r="AL378" s="48"/>
    </row>
    <row r="379" spans="1:38" s="263" customFormat="1">
      <c r="A379" s="261">
        <v>509</v>
      </c>
      <c r="B379" s="262" t="s">
        <v>121</v>
      </c>
      <c r="C379" s="262" t="s">
        <v>200</v>
      </c>
      <c r="D379" s="262" t="s">
        <v>200</v>
      </c>
      <c r="E379" s="262" t="s">
        <v>200</v>
      </c>
      <c r="F379" s="260" t="s">
        <v>200</v>
      </c>
      <c r="G379" s="252" t="s">
        <v>834</v>
      </c>
      <c r="H379" s="263" t="s">
        <v>200</v>
      </c>
      <c r="I379" s="262" t="s">
        <v>801</v>
      </c>
      <c r="J379" s="263">
        <v>1</v>
      </c>
      <c r="K379" s="262" t="s">
        <v>229</v>
      </c>
      <c r="L379" s="263" t="s">
        <v>200</v>
      </c>
      <c r="M379" s="262" t="s">
        <v>873</v>
      </c>
      <c r="N379" s="262" t="s">
        <v>874</v>
      </c>
      <c r="O379" s="262" t="s">
        <v>875</v>
      </c>
      <c r="P379" s="262"/>
      <c r="Q379" s="262"/>
      <c r="R379" s="262"/>
      <c r="S379" s="262"/>
      <c r="T379" s="262"/>
      <c r="V379" s="262" t="s">
        <v>34</v>
      </c>
      <c r="W379" s="264">
        <v>4000</v>
      </c>
      <c r="X379" s="265">
        <v>4000</v>
      </c>
      <c r="Y379" s="265">
        <v>80</v>
      </c>
      <c r="Z379" s="269"/>
      <c r="AA379" s="267"/>
      <c r="AE379" s="263" t="s">
        <v>675</v>
      </c>
      <c r="AF379" s="263" t="s">
        <v>35</v>
      </c>
      <c r="AG379" s="263" t="s">
        <v>864</v>
      </c>
      <c r="AI379" s="48"/>
      <c r="AJ379" s="48"/>
      <c r="AK379" s="48"/>
      <c r="AL379" s="48"/>
    </row>
    <row r="380" spans="1:38" s="263" customFormat="1">
      <c r="A380" s="261">
        <v>508</v>
      </c>
      <c r="B380" s="262" t="s">
        <v>121</v>
      </c>
      <c r="C380" s="262" t="s">
        <v>200</v>
      </c>
      <c r="D380" s="262" t="s">
        <v>200</v>
      </c>
      <c r="E380" s="262" t="s">
        <v>200</v>
      </c>
      <c r="F380" s="260" t="s">
        <v>200</v>
      </c>
      <c r="G380" s="252" t="s">
        <v>834</v>
      </c>
      <c r="H380" s="263" t="s">
        <v>200</v>
      </c>
      <c r="I380" s="262" t="s">
        <v>801</v>
      </c>
      <c r="J380" s="263">
        <v>1</v>
      </c>
      <c r="K380" s="262" t="s">
        <v>44</v>
      </c>
      <c r="L380" s="263" t="s">
        <v>200</v>
      </c>
      <c r="M380" s="262" t="s">
        <v>876</v>
      </c>
      <c r="N380" s="262" t="s">
        <v>877</v>
      </c>
      <c r="O380" s="262" t="s">
        <v>128</v>
      </c>
      <c r="P380" s="262"/>
      <c r="Q380" s="262"/>
      <c r="R380" s="262"/>
      <c r="S380" s="262"/>
      <c r="T380" s="262"/>
      <c r="U380" s="262"/>
      <c r="V380" s="262" t="s">
        <v>34</v>
      </c>
      <c r="W380" s="264">
        <v>5000</v>
      </c>
      <c r="X380" s="265">
        <v>5000</v>
      </c>
      <c r="Y380" s="265">
        <v>100</v>
      </c>
      <c r="Z380" s="269"/>
      <c r="AA380" s="267"/>
      <c r="AE380" s="263">
        <v>200220</v>
      </c>
      <c r="AF380" s="263" t="s">
        <v>35</v>
      </c>
      <c r="AG380" s="263" t="s">
        <v>776</v>
      </c>
      <c r="AI380" s="48"/>
      <c r="AJ380" s="48"/>
      <c r="AK380" s="48"/>
      <c r="AL380" s="48"/>
    </row>
    <row r="381" spans="1:38" s="263" customFormat="1">
      <c r="A381" s="261">
        <v>510</v>
      </c>
      <c r="B381" s="262" t="s">
        <v>121</v>
      </c>
      <c r="C381" s="262" t="s">
        <v>200</v>
      </c>
      <c r="D381" s="262" t="s">
        <v>200</v>
      </c>
      <c r="E381" s="262" t="s">
        <v>200</v>
      </c>
      <c r="F381" s="260" t="s">
        <v>200</v>
      </c>
      <c r="G381" s="252" t="s">
        <v>834</v>
      </c>
      <c r="H381" s="263" t="s">
        <v>200</v>
      </c>
      <c r="I381" s="262" t="s">
        <v>801</v>
      </c>
      <c r="J381" s="263">
        <v>1</v>
      </c>
      <c r="K381" s="262" t="s">
        <v>44</v>
      </c>
      <c r="L381" s="263" t="s">
        <v>200</v>
      </c>
      <c r="M381" s="262" t="s">
        <v>138</v>
      </c>
      <c r="N381" s="262" t="s">
        <v>878</v>
      </c>
      <c r="O381" s="262" t="s">
        <v>128</v>
      </c>
      <c r="P381" s="262"/>
      <c r="Q381" s="262"/>
      <c r="R381" s="262"/>
      <c r="S381" s="262"/>
      <c r="T381" s="262"/>
      <c r="V381" s="262" t="s">
        <v>34</v>
      </c>
      <c r="W381" s="264">
        <v>3000</v>
      </c>
      <c r="X381" s="265">
        <v>3000</v>
      </c>
      <c r="Y381" s="265">
        <v>60</v>
      </c>
      <c r="AE381" s="263" t="s">
        <v>675</v>
      </c>
      <c r="AF381" s="263" t="s">
        <v>35</v>
      </c>
      <c r="AG381" s="263" t="s">
        <v>864</v>
      </c>
      <c r="AI381" s="48"/>
      <c r="AJ381" s="48"/>
      <c r="AK381" s="48"/>
      <c r="AL381" s="48"/>
    </row>
    <row r="382" spans="1:38" s="263" customFormat="1">
      <c r="A382" s="261">
        <v>512</v>
      </c>
      <c r="B382" s="262" t="s">
        <v>121</v>
      </c>
      <c r="C382" s="262" t="s">
        <v>200</v>
      </c>
      <c r="D382" s="262" t="s">
        <v>200</v>
      </c>
      <c r="E382" s="262" t="s">
        <v>200</v>
      </c>
      <c r="F382" s="260" t="s">
        <v>200</v>
      </c>
      <c r="G382" s="252" t="s">
        <v>834</v>
      </c>
      <c r="H382" s="263" t="s">
        <v>200</v>
      </c>
      <c r="I382" s="262" t="s">
        <v>801</v>
      </c>
      <c r="J382" s="263">
        <v>1</v>
      </c>
      <c r="K382" s="262" t="s">
        <v>44</v>
      </c>
      <c r="L382" s="263" t="s">
        <v>200</v>
      </c>
      <c r="M382" s="262" t="s">
        <v>126</v>
      </c>
      <c r="N382" s="262" t="s">
        <v>879</v>
      </c>
      <c r="O382" s="262" t="s">
        <v>855</v>
      </c>
      <c r="P382" s="262"/>
      <c r="Q382" s="262"/>
      <c r="R382" s="262"/>
      <c r="S382" s="262"/>
      <c r="T382" s="262"/>
      <c r="V382" s="262" t="s">
        <v>34</v>
      </c>
      <c r="W382" s="264">
        <v>3000</v>
      </c>
      <c r="X382" s="265">
        <v>3000</v>
      </c>
      <c r="Y382" s="265">
        <v>60</v>
      </c>
      <c r="AB382" s="268"/>
      <c r="AE382" s="263" t="s">
        <v>675</v>
      </c>
      <c r="AF382" s="263" t="s">
        <v>35</v>
      </c>
      <c r="AG382" s="263" t="s">
        <v>864</v>
      </c>
      <c r="AI382" s="48"/>
      <c r="AJ382" s="48"/>
      <c r="AK382" s="48"/>
      <c r="AL382" s="48"/>
    </row>
    <row r="383" spans="1:38" s="263" customFormat="1">
      <c r="A383" s="261">
        <v>515</v>
      </c>
      <c r="B383" s="262" t="s">
        <v>121</v>
      </c>
      <c r="C383" s="262" t="s">
        <v>200</v>
      </c>
      <c r="D383" s="262" t="s">
        <v>200</v>
      </c>
      <c r="E383" s="262" t="s">
        <v>200</v>
      </c>
      <c r="F383" s="260" t="s">
        <v>200</v>
      </c>
      <c r="G383" s="252" t="s">
        <v>834</v>
      </c>
      <c r="H383" s="263" t="s">
        <v>200</v>
      </c>
      <c r="I383" s="262" t="s">
        <v>801</v>
      </c>
      <c r="J383" s="263">
        <v>1</v>
      </c>
      <c r="K383" s="262" t="s">
        <v>44</v>
      </c>
      <c r="L383" s="263" t="s">
        <v>200</v>
      </c>
      <c r="M383" s="262" t="s">
        <v>138</v>
      </c>
      <c r="N383" s="262" t="s">
        <v>880</v>
      </c>
      <c r="O383" s="262" t="s">
        <v>128</v>
      </c>
      <c r="P383" s="262"/>
      <c r="Q383" s="262"/>
      <c r="R383" s="262"/>
      <c r="S383" s="262"/>
      <c r="T383" s="262"/>
      <c r="V383" s="262" t="s">
        <v>34</v>
      </c>
      <c r="W383" s="264"/>
      <c r="X383" s="265"/>
      <c r="Y383" s="265"/>
      <c r="AB383" s="268"/>
      <c r="AE383" s="263">
        <v>220421</v>
      </c>
      <c r="AF383" s="263" t="s">
        <v>35</v>
      </c>
      <c r="AG383" s="263" t="s">
        <v>761</v>
      </c>
      <c r="AI383" s="48"/>
      <c r="AJ383" s="48"/>
      <c r="AK383" s="48"/>
      <c r="AL383" s="48"/>
    </row>
    <row r="384" spans="1:38" s="263" customFormat="1">
      <c r="A384" s="261">
        <v>517</v>
      </c>
      <c r="B384" s="262" t="s">
        <v>121</v>
      </c>
      <c r="C384" s="262" t="s">
        <v>200</v>
      </c>
      <c r="D384" s="262" t="s">
        <v>200</v>
      </c>
      <c r="E384" s="262" t="s">
        <v>200</v>
      </c>
      <c r="F384" s="260" t="s">
        <v>200</v>
      </c>
      <c r="G384" s="252" t="s">
        <v>834</v>
      </c>
      <c r="H384" s="263" t="s">
        <v>200</v>
      </c>
      <c r="I384" s="262" t="s">
        <v>801</v>
      </c>
      <c r="J384" s="263">
        <v>1</v>
      </c>
      <c r="K384" s="262" t="s">
        <v>44</v>
      </c>
      <c r="L384" s="263" t="s">
        <v>200</v>
      </c>
      <c r="M384" s="262" t="s">
        <v>881</v>
      </c>
      <c r="N384" s="262"/>
      <c r="O384" s="262" t="s">
        <v>128</v>
      </c>
      <c r="P384" s="262"/>
      <c r="Q384" s="262"/>
      <c r="R384" s="262"/>
      <c r="S384" s="262"/>
      <c r="T384" s="262"/>
      <c r="V384" s="262" t="s">
        <v>34</v>
      </c>
      <c r="W384" s="264"/>
      <c r="X384" s="265"/>
      <c r="Y384" s="265"/>
      <c r="AB384" s="268"/>
      <c r="AE384" s="263">
        <v>220902</v>
      </c>
      <c r="AF384" s="263" t="s">
        <v>35</v>
      </c>
      <c r="AG384" s="263" t="s">
        <v>761</v>
      </c>
      <c r="AI384" s="48"/>
      <c r="AJ384" s="48"/>
      <c r="AK384" s="48"/>
      <c r="AL384" s="48"/>
    </row>
    <row r="385" spans="1:38" s="263" customFormat="1">
      <c r="A385" s="261">
        <v>518</v>
      </c>
      <c r="B385" s="262" t="s">
        <v>121</v>
      </c>
      <c r="C385" s="262" t="s">
        <v>200</v>
      </c>
      <c r="D385" s="262" t="s">
        <v>200</v>
      </c>
      <c r="E385" s="262" t="s">
        <v>200</v>
      </c>
      <c r="F385" s="260" t="s">
        <v>200</v>
      </c>
      <c r="G385" s="252" t="s">
        <v>834</v>
      </c>
      <c r="H385" s="263" t="s">
        <v>200</v>
      </c>
      <c r="I385" s="262" t="s">
        <v>801</v>
      </c>
      <c r="J385" s="263">
        <v>1</v>
      </c>
      <c r="K385" s="262" t="s">
        <v>44</v>
      </c>
      <c r="L385" s="263" t="s">
        <v>200</v>
      </c>
      <c r="M385" s="262" t="s">
        <v>882</v>
      </c>
      <c r="N385" s="262" t="s">
        <v>478</v>
      </c>
      <c r="O385" s="262" t="s">
        <v>128</v>
      </c>
      <c r="P385" s="262"/>
      <c r="Q385" s="262"/>
      <c r="R385" s="262"/>
      <c r="S385" s="262"/>
      <c r="T385" s="262"/>
      <c r="V385" s="262" t="s">
        <v>34</v>
      </c>
      <c r="W385" s="264"/>
      <c r="X385" s="265"/>
      <c r="Y385" s="265"/>
      <c r="AB385" s="268"/>
      <c r="AE385" s="263">
        <v>221215</v>
      </c>
      <c r="AF385" s="262" t="s">
        <v>360</v>
      </c>
      <c r="AG385" s="263" t="s">
        <v>761</v>
      </c>
      <c r="AI385" s="48"/>
      <c r="AJ385" s="48"/>
      <c r="AK385" s="48"/>
      <c r="AL385" s="48"/>
    </row>
    <row r="386" spans="1:38" s="263" customFormat="1">
      <c r="A386" s="261">
        <v>516</v>
      </c>
      <c r="B386" s="262" t="s">
        <v>121</v>
      </c>
      <c r="C386" s="262" t="s">
        <v>200</v>
      </c>
      <c r="D386" s="262" t="s">
        <v>200</v>
      </c>
      <c r="E386" s="262" t="s">
        <v>200</v>
      </c>
      <c r="F386" s="260" t="s">
        <v>200</v>
      </c>
      <c r="G386" s="252" t="s">
        <v>834</v>
      </c>
      <c r="H386" s="263" t="s">
        <v>200</v>
      </c>
      <c r="I386" s="262" t="s">
        <v>801</v>
      </c>
      <c r="J386" s="263">
        <v>1</v>
      </c>
      <c r="K386" s="262" t="s">
        <v>44</v>
      </c>
      <c r="L386" s="263" t="s">
        <v>200</v>
      </c>
      <c r="M386" s="262" t="s">
        <v>312</v>
      </c>
      <c r="N386" s="262" t="s">
        <v>313</v>
      </c>
      <c r="O386" s="262" t="s">
        <v>314</v>
      </c>
      <c r="P386" s="262"/>
      <c r="Q386" s="262"/>
      <c r="R386" s="262"/>
      <c r="S386" s="262"/>
      <c r="T386" s="262"/>
      <c r="V386" s="262" t="s">
        <v>34</v>
      </c>
      <c r="W386" s="264"/>
      <c r="X386" s="265"/>
      <c r="Y386" s="265"/>
      <c r="AB386" s="268"/>
      <c r="AE386" s="263">
        <v>210425</v>
      </c>
      <c r="AF386" s="262" t="s">
        <v>360</v>
      </c>
      <c r="AG386" s="263" t="s">
        <v>764</v>
      </c>
      <c r="AI386" s="48"/>
      <c r="AJ386" s="48"/>
      <c r="AK386" s="48"/>
      <c r="AL386" s="48"/>
    </row>
    <row r="387" spans="1:38" s="263" customFormat="1">
      <c r="A387" s="275">
        <v>2302</v>
      </c>
      <c r="B387" s="263" t="s">
        <v>1083</v>
      </c>
      <c r="C387" s="263" t="s">
        <v>200</v>
      </c>
      <c r="D387" s="263" t="s">
        <v>200</v>
      </c>
      <c r="E387" s="260" t="s">
        <v>200</v>
      </c>
      <c r="F387" s="263" t="s">
        <v>200</v>
      </c>
      <c r="G387" s="263" t="s">
        <v>834</v>
      </c>
      <c r="H387" s="263" t="s">
        <v>200</v>
      </c>
      <c r="I387" s="263" t="s">
        <v>801</v>
      </c>
      <c r="J387" s="263">
        <v>1</v>
      </c>
      <c r="K387" s="263" t="s">
        <v>1084</v>
      </c>
      <c r="L387" s="263" t="s">
        <v>200</v>
      </c>
      <c r="V387" s="265" t="s">
        <v>34</v>
      </c>
      <c r="W387" s="265">
        <v>100</v>
      </c>
      <c r="X387" s="265">
        <v>2</v>
      </c>
      <c r="AE387" s="263" t="s">
        <v>675</v>
      </c>
      <c r="AF387" s="263" t="s">
        <v>35</v>
      </c>
      <c r="AG387" s="263" t="s">
        <v>864</v>
      </c>
      <c r="AI387" s="48"/>
      <c r="AJ387" s="48"/>
      <c r="AK387" s="48"/>
      <c r="AL387" s="48"/>
    </row>
    <row r="388" spans="1:38" s="263" customFormat="1">
      <c r="A388" s="275">
        <v>2200</v>
      </c>
      <c r="B388" s="263" t="s">
        <v>1045</v>
      </c>
      <c r="C388" s="263" t="s">
        <v>200</v>
      </c>
      <c r="D388" s="263" t="s">
        <v>200</v>
      </c>
      <c r="E388" s="260" t="s">
        <v>200</v>
      </c>
      <c r="F388" s="263" t="s">
        <v>200</v>
      </c>
      <c r="G388" s="263" t="s">
        <v>834</v>
      </c>
      <c r="H388" s="263" t="s">
        <v>200</v>
      </c>
      <c r="I388" s="263" t="s">
        <v>801</v>
      </c>
      <c r="J388" s="263">
        <v>1</v>
      </c>
      <c r="K388" s="263" t="s">
        <v>1095</v>
      </c>
      <c r="L388" s="263" t="s">
        <v>200</v>
      </c>
      <c r="M388" s="263" t="s">
        <v>1096</v>
      </c>
      <c r="V388" s="265" t="s">
        <v>34</v>
      </c>
      <c r="W388" s="265"/>
      <c r="X388" s="265"/>
      <c r="AE388" s="263" t="s">
        <v>675</v>
      </c>
      <c r="AF388" s="263" t="s">
        <v>35</v>
      </c>
      <c r="AG388" s="263" t="s">
        <v>864</v>
      </c>
      <c r="AI388" s="48"/>
      <c r="AJ388" s="48"/>
      <c r="AK388" s="48"/>
      <c r="AL388" s="48"/>
    </row>
    <row r="389" spans="1:38" s="263" customFormat="1">
      <c r="A389" s="275">
        <v>2201</v>
      </c>
      <c r="B389" s="263" t="s">
        <v>1045</v>
      </c>
      <c r="C389" s="263" t="s">
        <v>200</v>
      </c>
      <c r="D389" s="263" t="s">
        <v>200</v>
      </c>
      <c r="E389" s="260" t="s">
        <v>200</v>
      </c>
      <c r="F389" s="263" t="s">
        <v>200</v>
      </c>
      <c r="G389" s="263" t="s">
        <v>834</v>
      </c>
      <c r="H389" s="263" t="s">
        <v>200</v>
      </c>
      <c r="I389" s="263" t="s">
        <v>801</v>
      </c>
      <c r="J389" s="263">
        <v>1</v>
      </c>
      <c r="K389" s="263" t="s">
        <v>1097</v>
      </c>
      <c r="L389" s="263" t="s">
        <v>200</v>
      </c>
      <c r="M389" s="263" t="s">
        <v>1098</v>
      </c>
      <c r="V389" s="265" t="s">
        <v>34</v>
      </c>
      <c r="W389" s="265"/>
      <c r="X389" s="265"/>
      <c r="AE389" s="263" t="s">
        <v>675</v>
      </c>
      <c r="AF389" s="263" t="s">
        <v>35</v>
      </c>
      <c r="AG389" s="263" t="s">
        <v>864</v>
      </c>
      <c r="AI389" s="48"/>
      <c r="AJ389" s="48"/>
      <c r="AK389" s="48"/>
      <c r="AL389" s="48"/>
    </row>
    <row r="390" spans="1:38" s="263" customFormat="1">
      <c r="A390" s="275">
        <v>9006</v>
      </c>
      <c r="B390" s="263" t="s">
        <v>1085</v>
      </c>
      <c r="C390" s="263" t="s">
        <v>200</v>
      </c>
      <c r="D390" s="263" t="s">
        <v>200</v>
      </c>
      <c r="E390" s="260" t="s">
        <v>200</v>
      </c>
      <c r="F390" s="263" t="s">
        <v>200</v>
      </c>
      <c r="G390" s="263" t="s">
        <v>834</v>
      </c>
      <c r="H390" s="263" t="s">
        <v>200</v>
      </c>
      <c r="I390" s="263" t="s">
        <v>801</v>
      </c>
      <c r="J390" s="263">
        <v>1</v>
      </c>
      <c r="K390" s="263" t="s">
        <v>1086</v>
      </c>
      <c r="L390" s="263" t="s">
        <v>200</v>
      </c>
      <c r="V390" s="265" t="s">
        <v>34</v>
      </c>
      <c r="W390" s="265">
        <v>0</v>
      </c>
      <c r="X390" s="265">
        <v>0</v>
      </c>
      <c r="AE390" s="263">
        <v>191220</v>
      </c>
      <c r="AF390" s="263" t="s">
        <v>35</v>
      </c>
      <c r="AG390" s="263" t="s">
        <v>1087</v>
      </c>
      <c r="AI390" s="48"/>
      <c r="AJ390" s="48"/>
      <c r="AK390" s="48"/>
      <c r="AL390" s="48"/>
    </row>
    <row r="391" spans="1:38" s="263" customFormat="1">
      <c r="A391" s="275">
        <v>9007</v>
      </c>
      <c r="B391" s="263" t="s">
        <v>1088</v>
      </c>
      <c r="C391" s="263" t="s">
        <v>200</v>
      </c>
      <c r="D391" s="263" t="s">
        <v>200</v>
      </c>
      <c r="E391" s="260" t="s">
        <v>200</v>
      </c>
      <c r="F391" s="263" t="s">
        <v>200</v>
      </c>
      <c r="G391" s="263" t="s">
        <v>834</v>
      </c>
      <c r="H391" s="263" t="s">
        <v>200</v>
      </c>
      <c r="I391" s="263" t="s">
        <v>801</v>
      </c>
      <c r="J391" s="263">
        <v>1</v>
      </c>
      <c r="L391" s="263" t="s">
        <v>200</v>
      </c>
      <c r="V391" s="265" t="s">
        <v>34</v>
      </c>
      <c r="W391" s="265">
        <v>400</v>
      </c>
      <c r="X391" s="265">
        <v>8</v>
      </c>
      <c r="AE391" s="263">
        <v>200315</v>
      </c>
      <c r="AF391" s="263" t="s">
        <v>35</v>
      </c>
      <c r="AG391" s="263" t="s">
        <v>893</v>
      </c>
      <c r="AI391" s="48"/>
      <c r="AJ391" s="48"/>
      <c r="AK391" s="48"/>
      <c r="AL391" s="48"/>
    </row>
    <row r="392" spans="1:38" s="263" customFormat="1">
      <c r="A392" s="275">
        <v>9009</v>
      </c>
      <c r="B392" s="263" t="s">
        <v>1089</v>
      </c>
      <c r="C392" s="263" t="s">
        <v>200</v>
      </c>
      <c r="D392" s="263" t="s">
        <v>200</v>
      </c>
      <c r="E392" s="260" t="s">
        <v>200</v>
      </c>
      <c r="F392" s="263" t="s">
        <v>200</v>
      </c>
      <c r="G392" s="263" t="s">
        <v>834</v>
      </c>
      <c r="H392" s="263" t="s">
        <v>200</v>
      </c>
      <c r="I392" s="263" t="s">
        <v>801</v>
      </c>
      <c r="J392" s="263">
        <v>1</v>
      </c>
      <c r="K392" s="263">
        <v>20291</v>
      </c>
      <c r="L392" s="263" t="s">
        <v>200</v>
      </c>
      <c r="V392" s="265" t="s">
        <v>34</v>
      </c>
      <c r="W392" s="265">
        <v>289</v>
      </c>
      <c r="X392" s="265">
        <v>5.78</v>
      </c>
      <c r="AE392" s="263">
        <v>200315</v>
      </c>
      <c r="AF392" s="263" t="s">
        <v>35</v>
      </c>
      <c r="AG392" s="263" t="s">
        <v>893</v>
      </c>
      <c r="AI392" s="48"/>
      <c r="AJ392" s="48"/>
      <c r="AK392" s="48"/>
      <c r="AL392" s="48"/>
    </row>
    <row r="393" spans="1:38" s="263" customFormat="1">
      <c r="A393" s="275">
        <v>9010</v>
      </c>
      <c r="B393" s="263" t="s">
        <v>1090</v>
      </c>
      <c r="C393" s="263" t="s">
        <v>200</v>
      </c>
      <c r="D393" s="263" t="s">
        <v>200</v>
      </c>
      <c r="E393" s="260" t="s">
        <v>200</v>
      </c>
      <c r="F393" s="263" t="s">
        <v>200</v>
      </c>
      <c r="G393" s="263" t="s">
        <v>834</v>
      </c>
      <c r="H393" s="263" t="s">
        <v>200</v>
      </c>
      <c r="I393" s="263" t="s">
        <v>801</v>
      </c>
      <c r="J393" s="263">
        <v>1</v>
      </c>
      <c r="L393" s="263" t="s">
        <v>200</v>
      </c>
      <c r="M393" s="275">
        <v>4586201418180</v>
      </c>
      <c r="V393" s="265" t="s">
        <v>34</v>
      </c>
      <c r="W393" s="265">
        <v>1386</v>
      </c>
      <c r="X393" s="265">
        <v>27.72</v>
      </c>
      <c r="AE393" s="263" t="s">
        <v>675</v>
      </c>
      <c r="AF393" s="263" t="s">
        <v>35</v>
      </c>
      <c r="AG393" s="263" t="s">
        <v>864</v>
      </c>
      <c r="AI393" s="48"/>
      <c r="AJ393" s="48"/>
      <c r="AK393" s="48"/>
      <c r="AL393" s="48"/>
    </row>
    <row r="394" spans="1:38" s="263" customFormat="1">
      <c r="A394" s="275">
        <v>9011</v>
      </c>
      <c r="B394" s="263" t="s">
        <v>1091</v>
      </c>
      <c r="C394" s="263" t="s">
        <v>200</v>
      </c>
      <c r="D394" s="263" t="s">
        <v>200</v>
      </c>
      <c r="E394" s="260" t="s">
        <v>200</v>
      </c>
      <c r="F394" s="263" t="s">
        <v>200</v>
      </c>
      <c r="G394" s="263" t="s">
        <v>834</v>
      </c>
      <c r="H394" s="263" t="s">
        <v>200</v>
      </c>
      <c r="I394" s="263" t="s">
        <v>801</v>
      </c>
      <c r="J394" s="263">
        <v>1</v>
      </c>
      <c r="L394" s="263" t="s">
        <v>200</v>
      </c>
      <c r="V394" s="265" t="s">
        <v>34</v>
      </c>
      <c r="W394" s="265">
        <v>26100</v>
      </c>
      <c r="X394" s="265">
        <v>522</v>
      </c>
      <c r="AE394" s="263" t="s">
        <v>675</v>
      </c>
      <c r="AF394" s="263" t="s">
        <v>35</v>
      </c>
      <c r="AG394" s="263" t="s">
        <v>864</v>
      </c>
      <c r="AI394" s="48"/>
      <c r="AJ394" s="48"/>
      <c r="AK394" s="48"/>
      <c r="AL394" s="48"/>
    </row>
    <row r="395" spans="1:38" s="263" customFormat="1">
      <c r="A395" s="275">
        <v>9012</v>
      </c>
      <c r="B395" s="263" t="s">
        <v>1092</v>
      </c>
      <c r="C395" s="263" t="s">
        <v>200</v>
      </c>
      <c r="D395" s="263" t="s">
        <v>200</v>
      </c>
      <c r="E395" s="260" t="s">
        <v>200</v>
      </c>
      <c r="F395" s="263" t="s">
        <v>200</v>
      </c>
      <c r="G395" s="263" t="s">
        <v>834</v>
      </c>
      <c r="H395" s="263" t="s">
        <v>200</v>
      </c>
      <c r="I395" s="263" t="s">
        <v>801</v>
      </c>
      <c r="J395" s="263">
        <v>1</v>
      </c>
      <c r="K395" s="262"/>
      <c r="L395" s="263" t="s">
        <v>200</v>
      </c>
      <c r="V395" s="265" t="s">
        <v>34</v>
      </c>
      <c r="W395" s="265">
        <v>3914</v>
      </c>
      <c r="X395" s="265">
        <v>78.28</v>
      </c>
      <c r="AE395" s="263" t="s">
        <v>675</v>
      </c>
      <c r="AF395" s="263" t="s">
        <v>35</v>
      </c>
      <c r="AG395" s="263" t="s">
        <v>739</v>
      </c>
      <c r="AI395" s="48"/>
      <c r="AJ395" s="48"/>
      <c r="AK395" s="48"/>
      <c r="AL395" s="48"/>
    </row>
    <row r="396" spans="1:38" s="141" customFormat="1">
      <c r="A396" s="275">
        <v>2300</v>
      </c>
      <c r="B396" s="263" t="s">
        <v>902</v>
      </c>
      <c r="C396" s="263" t="s">
        <v>200</v>
      </c>
      <c r="D396" s="263" t="s">
        <v>200</v>
      </c>
      <c r="E396" s="260" t="s">
        <v>200</v>
      </c>
      <c r="F396" s="263" t="s">
        <v>200</v>
      </c>
      <c r="G396" s="263" t="s">
        <v>834</v>
      </c>
      <c r="H396" s="263" t="s">
        <v>200</v>
      </c>
      <c r="I396" s="263" t="s">
        <v>801</v>
      </c>
      <c r="J396" s="263">
        <v>1</v>
      </c>
      <c r="K396" s="263"/>
      <c r="L396" s="263" t="s">
        <v>200</v>
      </c>
      <c r="M396" s="263"/>
      <c r="N396" s="263"/>
      <c r="O396" s="263"/>
      <c r="P396" s="263"/>
      <c r="Q396" s="263"/>
      <c r="R396" s="263"/>
      <c r="S396" s="263"/>
      <c r="T396" s="263"/>
      <c r="U396" s="263"/>
      <c r="V396" s="265" t="s">
        <v>34</v>
      </c>
      <c r="W396" s="265"/>
      <c r="X396" s="265"/>
      <c r="Y396" s="263"/>
      <c r="Z396" s="263"/>
      <c r="AA396" s="263"/>
      <c r="AB396" s="263"/>
      <c r="AC396" s="263"/>
      <c r="AD396" s="263"/>
      <c r="AE396" s="263" t="s">
        <v>675</v>
      </c>
      <c r="AF396" s="263" t="s">
        <v>35</v>
      </c>
      <c r="AG396" s="263" t="s">
        <v>900</v>
      </c>
      <c r="AH396" s="263"/>
      <c r="AI396" s="48"/>
      <c r="AJ396" s="48"/>
      <c r="AK396" s="48"/>
      <c r="AL396" s="48"/>
    </row>
    <row r="397" spans="1:38" s="263" customFormat="1">
      <c r="A397" s="275">
        <v>2301</v>
      </c>
      <c r="B397" s="263" t="s">
        <v>902</v>
      </c>
      <c r="C397" s="263" t="s">
        <v>200</v>
      </c>
      <c r="D397" s="263" t="s">
        <v>200</v>
      </c>
      <c r="E397" s="260" t="s">
        <v>200</v>
      </c>
      <c r="F397" s="263" t="s">
        <v>200</v>
      </c>
      <c r="G397" s="263" t="s">
        <v>834</v>
      </c>
      <c r="H397" s="263" t="s">
        <v>200</v>
      </c>
      <c r="I397" s="263" t="s">
        <v>801</v>
      </c>
      <c r="J397" s="263">
        <v>1</v>
      </c>
      <c r="L397" s="263" t="s">
        <v>200</v>
      </c>
      <c r="V397" s="265" t="s">
        <v>34</v>
      </c>
      <c r="W397" s="265"/>
      <c r="X397" s="265"/>
      <c r="AE397" s="263" t="s">
        <v>675</v>
      </c>
      <c r="AF397" s="263" t="s">
        <v>35</v>
      </c>
      <c r="AG397" s="263" t="s">
        <v>864</v>
      </c>
      <c r="AI397" s="48"/>
      <c r="AJ397" s="48"/>
      <c r="AK397" s="48"/>
      <c r="AL397" s="48"/>
    </row>
    <row r="398" spans="1:38" s="263" customFormat="1">
      <c r="A398" s="275">
        <v>9014</v>
      </c>
      <c r="B398" s="263" t="s">
        <v>1093</v>
      </c>
      <c r="C398" s="263" t="s">
        <v>200</v>
      </c>
      <c r="D398" s="263" t="s">
        <v>200</v>
      </c>
      <c r="E398" s="260" t="s">
        <v>200</v>
      </c>
      <c r="F398" s="263" t="s">
        <v>200</v>
      </c>
      <c r="G398" s="263" t="s">
        <v>834</v>
      </c>
      <c r="H398" s="263" t="s">
        <v>200</v>
      </c>
      <c r="I398" s="263" t="s">
        <v>801</v>
      </c>
      <c r="J398" s="263">
        <v>1</v>
      </c>
      <c r="K398" s="263" t="s">
        <v>1094</v>
      </c>
      <c r="L398" s="263" t="s">
        <v>200</v>
      </c>
      <c r="V398" s="265" t="s">
        <v>34</v>
      </c>
      <c r="W398" s="265">
        <v>550</v>
      </c>
      <c r="X398" s="265">
        <v>11</v>
      </c>
      <c r="AE398" s="263" t="s">
        <v>675</v>
      </c>
      <c r="AF398" s="263" t="s">
        <v>35</v>
      </c>
      <c r="AG398" s="263" t="s">
        <v>864</v>
      </c>
      <c r="AI398" s="48"/>
      <c r="AJ398" s="48"/>
      <c r="AK398" s="48"/>
      <c r="AL398" s="48"/>
    </row>
    <row r="399" spans="1:38">
      <c r="A399" s="275">
        <v>9015</v>
      </c>
      <c r="B399" s="263" t="s">
        <v>1093</v>
      </c>
      <c r="C399" s="263" t="s">
        <v>200</v>
      </c>
      <c r="D399" s="263" t="s">
        <v>200</v>
      </c>
      <c r="E399" s="263" t="s">
        <v>200</v>
      </c>
      <c r="F399" s="263" t="s">
        <v>200</v>
      </c>
      <c r="G399" s="263" t="s">
        <v>834</v>
      </c>
      <c r="H399" s="263" t="s">
        <v>200</v>
      </c>
      <c r="I399" s="263" t="s">
        <v>801</v>
      </c>
      <c r="J399" s="263">
        <v>1</v>
      </c>
      <c r="K399" s="263" t="s">
        <v>100</v>
      </c>
      <c r="L399" s="263" t="s">
        <v>200</v>
      </c>
      <c r="M399" s="263" t="s">
        <v>1094</v>
      </c>
      <c r="N399" s="322"/>
      <c r="O399" s="263"/>
      <c r="P399" s="263"/>
      <c r="Q399" s="263"/>
      <c r="R399" s="263"/>
      <c r="S399" s="263"/>
      <c r="T399" s="263"/>
      <c r="U399" s="263"/>
      <c r="V399" s="265" t="s">
        <v>34</v>
      </c>
      <c r="W399" s="265">
        <v>550</v>
      </c>
      <c r="X399" s="265">
        <v>550</v>
      </c>
      <c r="Y399" s="265">
        <v>11</v>
      </c>
      <c r="Z399" s="263"/>
      <c r="AA399" s="263"/>
      <c r="AB399" s="263"/>
      <c r="AC399" s="263"/>
      <c r="AD399" s="263"/>
      <c r="AE399" s="263" t="s">
        <v>675</v>
      </c>
      <c r="AF399" s="263" t="s">
        <v>35</v>
      </c>
      <c r="AG399" s="263" t="s">
        <v>864</v>
      </c>
      <c r="AH399" s="263"/>
    </row>
    <row r="400" spans="1:38">
      <c r="A400" s="275">
        <v>9036</v>
      </c>
      <c r="B400" s="263" t="s">
        <v>1099</v>
      </c>
      <c r="C400" s="263" t="s">
        <v>200</v>
      </c>
      <c r="D400" s="263" t="s">
        <v>200</v>
      </c>
      <c r="E400" s="263" t="s">
        <v>200</v>
      </c>
      <c r="F400" s="263" t="s">
        <v>200</v>
      </c>
      <c r="G400" s="263" t="s">
        <v>834</v>
      </c>
      <c r="H400" s="263" t="s">
        <v>200</v>
      </c>
      <c r="I400" s="263" t="s">
        <v>801</v>
      </c>
      <c r="J400" s="263">
        <v>1</v>
      </c>
      <c r="K400" s="263" t="s">
        <v>1100</v>
      </c>
      <c r="L400" s="263" t="s">
        <v>200</v>
      </c>
      <c r="M400" s="263" t="s">
        <v>1101</v>
      </c>
      <c r="N400" s="322" t="s">
        <v>1102</v>
      </c>
      <c r="O400" s="263"/>
      <c r="P400" s="263"/>
      <c r="Q400" s="263"/>
      <c r="R400" s="263"/>
      <c r="S400" s="263"/>
      <c r="T400" s="263"/>
      <c r="U400" s="263"/>
      <c r="V400" s="265" t="s">
        <v>34</v>
      </c>
      <c r="W400" s="264">
        <v>550</v>
      </c>
      <c r="X400" s="265">
        <v>550</v>
      </c>
      <c r="Y400" s="265">
        <v>10.53</v>
      </c>
      <c r="Z400" s="263"/>
      <c r="AA400" s="263"/>
      <c r="AB400" s="263"/>
      <c r="AC400" s="263"/>
      <c r="AD400" s="263"/>
      <c r="AE400" s="263">
        <v>221011</v>
      </c>
      <c r="AF400" s="263" t="s">
        <v>35</v>
      </c>
      <c r="AG400" s="263" t="s">
        <v>830</v>
      </c>
      <c r="AH400" s="263"/>
    </row>
    <row r="401" spans="1:34">
      <c r="A401" s="263">
        <v>803</v>
      </c>
      <c r="B401" s="263" t="e">
        <f>"LAM"&amp;TEXT(ROW(#REF!),"000")</f>
        <v>#REF!</v>
      </c>
      <c r="C401" s="263" t="s">
        <v>200</v>
      </c>
      <c r="D401" s="263" t="s">
        <v>200</v>
      </c>
      <c r="E401" s="260" t="s">
        <v>200</v>
      </c>
      <c r="F401" s="260" t="s">
        <v>200</v>
      </c>
      <c r="G401" s="252" t="s">
        <v>834</v>
      </c>
      <c r="H401" s="263" t="s">
        <v>200</v>
      </c>
      <c r="I401" s="263" t="s">
        <v>801</v>
      </c>
      <c r="J401" s="263">
        <v>1</v>
      </c>
      <c r="K401" s="263" t="s">
        <v>151</v>
      </c>
      <c r="L401" s="263" t="s">
        <v>200</v>
      </c>
      <c r="M401" s="263" t="s">
        <v>905</v>
      </c>
      <c r="N401" s="263" t="s">
        <v>921</v>
      </c>
      <c r="O401" s="263"/>
      <c r="P401" s="263"/>
      <c r="Q401" s="263"/>
      <c r="R401" s="263"/>
      <c r="S401" s="263"/>
      <c r="T401" s="263"/>
      <c r="U401" s="263"/>
      <c r="V401" s="263" t="s">
        <v>200</v>
      </c>
      <c r="W401" s="277">
        <v>100</v>
      </c>
      <c r="X401" s="265">
        <f>W401*J401</f>
        <v>100</v>
      </c>
      <c r="Y401" s="265">
        <f>X401/50</f>
        <v>2</v>
      </c>
      <c r="Z401" s="263"/>
      <c r="AA401" s="263"/>
      <c r="AB401" s="263"/>
      <c r="AC401" s="263"/>
      <c r="AD401" s="263"/>
      <c r="AE401" s="263">
        <v>201216</v>
      </c>
      <c r="AF401" s="263" t="s">
        <v>35</v>
      </c>
      <c r="AG401" s="263" t="s">
        <v>893</v>
      </c>
      <c r="AH401" s="263"/>
    </row>
  </sheetData>
  <autoFilter ref="A3:AH401" xr:uid="{AD3B1068-513B-4C67-B50C-9CF30BA88253}">
    <filterColumn colId="30" showButton="0"/>
    <filterColumn colId="31" showButton="0"/>
    <filterColumn colId="32" showButton="0"/>
    <sortState xmlns:xlrd2="http://schemas.microsoft.com/office/spreadsheetml/2017/richdata2" ref="A4:AH401">
      <sortCondition sortBy="cellColor" ref="B4:B401" dxfId="95"/>
      <sortCondition sortBy="cellColor" ref="B4:B401" dxfId="94"/>
      <sortCondition sortBy="cellColor" ref="B4:B401" dxfId="93"/>
      <sortCondition sortBy="cellColor" ref="B4:B401" dxfId="92"/>
      <sortCondition sortBy="cellColor" ref="B4:B401" dxfId="91"/>
      <sortCondition descending="1" sortBy="cellColor" ref="B4:B401" dxfId="90"/>
    </sortState>
  </autoFilter>
  <mergeCells count="1">
    <mergeCell ref="A1:E1"/>
  </mergeCells>
  <phoneticPr fontId="28" type="noConversion"/>
  <conditionalFormatting sqref="A1">
    <cfRule type="duplicateValues" dxfId="89" priority="43"/>
  </conditionalFormatting>
  <conditionalFormatting sqref="A3">
    <cfRule type="duplicateValues" dxfId="88" priority="61"/>
  </conditionalFormatting>
  <conditionalFormatting sqref="A39:A43 A77:A92 A191:A203">
    <cfRule type="duplicateValues" dxfId="87" priority="53"/>
  </conditionalFormatting>
  <conditionalFormatting sqref="A44:A45">
    <cfRule type="duplicateValues" dxfId="86" priority="55"/>
  </conditionalFormatting>
  <conditionalFormatting sqref="A98 A209:A210">
    <cfRule type="duplicateValues" dxfId="85" priority="62"/>
  </conditionalFormatting>
  <conditionalFormatting sqref="A149 A170:A171 A204 A105:A106 A93 A129:A134 A99:A103 A174:A190">
    <cfRule type="duplicateValues" dxfId="84" priority="63"/>
  </conditionalFormatting>
  <conditionalFormatting sqref="A172 A401 A205:A208 A104 A135:A148 A212 A150:A166 A169 A119:A128 A49:A76 A94:A97 A107:A113 A7:A38">
    <cfRule type="duplicateValues" dxfId="83" priority="64"/>
  </conditionalFormatting>
  <conditionalFormatting sqref="A211 A213:A217">
    <cfRule type="duplicateValues" dxfId="82" priority="39"/>
  </conditionalFormatting>
  <conditionalFormatting sqref="A218:A220">
    <cfRule type="duplicateValues" dxfId="81" priority="37"/>
  </conditionalFormatting>
  <conditionalFormatting sqref="A221:A224">
    <cfRule type="duplicateValues" dxfId="80" priority="36"/>
  </conditionalFormatting>
  <conditionalFormatting sqref="A225:A226">
    <cfRule type="duplicateValues" dxfId="79" priority="35"/>
  </conditionalFormatting>
  <conditionalFormatting sqref="A227">
    <cfRule type="duplicateValues" dxfId="78" priority="34"/>
  </conditionalFormatting>
  <conditionalFormatting sqref="A228">
    <cfRule type="duplicateValues" dxfId="77" priority="33"/>
  </conditionalFormatting>
  <conditionalFormatting sqref="A229:A238">
    <cfRule type="duplicateValues" dxfId="76" priority="32"/>
  </conditionalFormatting>
  <conditionalFormatting sqref="A239:A240">
    <cfRule type="duplicateValues" dxfId="75" priority="31"/>
  </conditionalFormatting>
  <conditionalFormatting sqref="A241:A246">
    <cfRule type="duplicateValues" dxfId="74" priority="30"/>
  </conditionalFormatting>
  <conditionalFormatting sqref="A247">
    <cfRule type="duplicateValues" dxfId="73" priority="29"/>
  </conditionalFormatting>
  <conditionalFormatting sqref="A248:A264">
    <cfRule type="duplicateValues" dxfId="72" priority="28"/>
  </conditionalFormatting>
  <conditionalFormatting sqref="A265">
    <cfRule type="duplicateValues" dxfId="71" priority="27"/>
  </conditionalFormatting>
  <conditionalFormatting sqref="A266:A271">
    <cfRule type="duplicateValues" dxfId="70" priority="26"/>
  </conditionalFormatting>
  <conditionalFormatting sqref="A272:A276">
    <cfRule type="duplicateValues" dxfId="69" priority="25"/>
  </conditionalFormatting>
  <conditionalFormatting sqref="A277:A287">
    <cfRule type="duplicateValues" dxfId="68" priority="24"/>
  </conditionalFormatting>
  <conditionalFormatting sqref="A288:A291">
    <cfRule type="duplicateValues" dxfId="67" priority="23"/>
  </conditionalFormatting>
  <conditionalFormatting sqref="A292:A293">
    <cfRule type="duplicateValues" dxfId="66" priority="22"/>
  </conditionalFormatting>
  <conditionalFormatting sqref="A294:A297">
    <cfRule type="duplicateValues" dxfId="65" priority="21"/>
  </conditionalFormatting>
  <conditionalFormatting sqref="A303:A312">
    <cfRule type="duplicateValues" dxfId="64" priority="20"/>
  </conditionalFormatting>
  <conditionalFormatting sqref="A317:A332">
    <cfRule type="duplicateValues" dxfId="63" priority="19"/>
  </conditionalFormatting>
  <conditionalFormatting sqref="A333 A335">
    <cfRule type="duplicateValues" dxfId="62" priority="18"/>
  </conditionalFormatting>
  <conditionalFormatting sqref="A334">
    <cfRule type="duplicateValues" dxfId="61" priority="17"/>
  </conditionalFormatting>
  <conditionalFormatting sqref="A336:A337">
    <cfRule type="duplicateValues" dxfId="60" priority="15"/>
  </conditionalFormatting>
  <conditionalFormatting sqref="A338:A340">
    <cfRule type="duplicateValues" dxfId="59" priority="14"/>
  </conditionalFormatting>
  <conditionalFormatting sqref="A341">
    <cfRule type="duplicateValues" dxfId="58" priority="13"/>
  </conditionalFormatting>
  <conditionalFormatting sqref="A342:A346">
    <cfRule type="duplicateValues" dxfId="57" priority="12"/>
  </conditionalFormatting>
  <conditionalFormatting sqref="A347">
    <cfRule type="duplicateValues" dxfId="56" priority="11"/>
  </conditionalFormatting>
  <conditionalFormatting sqref="A348">
    <cfRule type="duplicateValues" dxfId="55" priority="10"/>
  </conditionalFormatting>
  <conditionalFormatting sqref="A349:A352">
    <cfRule type="duplicateValues" dxfId="54" priority="9"/>
  </conditionalFormatting>
  <conditionalFormatting sqref="A353:A362">
    <cfRule type="duplicateValues" dxfId="53" priority="8"/>
  </conditionalFormatting>
  <conditionalFormatting sqref="A363:A367">
    <cfRule type="duplicateValues" dxfId="52" priority="7"/>
  </conditionalFormatting>
  <conditionalFormatting sqref="A368:A378">
    <cfRule type="duplicateValues" dxfId="51" priority="6"/>
  </conditionalFormatting>
  <conditionalFormatting sqref="A379:A391">
    <cfRule type="duplicateValues" dxfId="50" priority="5"/>
  </conditionalFormatting>
  <conditionalFormatting sqref="A392">
    <cfRule type="duplicateValues" dxfId="49" priority="4"/>
  </conditionalFormatting>
  <conditionalFormatting sqref="A393:A395">
    <cfRule type="duplicateValues" dxfId="48" priority="3"/>
  </conditionalFormatting>
  <conditionalFormatting sqref="A396">
    <cfRule type="duplicateValues" dxfId="47" priority="2"/>
  </conditionalFormatting>
  <conditionalFormatting sqref="A397:A398">
    <cfRule type="duplicateValues" dxfId="46" priority="1"/>
  </conditionalFormatting>
  <conditionalFormatting sqref="B130">
    <cfRule type="duplicateValues" dxfId="45" priority="45"/>
  </conditionalFormatting>
  <conditionalFormatting sqref="D37:W40 I41:W44 D35 B37:B38 Y37:AA44 AC37:AH44 A39:B44 D41:F44 A45 A77:A92 F139 I139 G180:G186 A191:A203">
    <cfRule type="expression" dxfId="44" priority="52">
      <formula>ROW(A35)=HighlightRow</formula>
    </cfRule>
  </conditionalFormatting>
  <conditionalFormatting sqref="G41:H47">
    <cfRule type="expression" dxfId="43" priority="51">
      <formula>ROW(G41)=HighlightRow</formula>
    </cfRule>
  </conditionalFormatting>
  <conditionalFormatting sqref="N298:N302 N198:N199 N1:N195 N203:N208 N201 N313:N315 N333:N335 N399:N1048576">
    <cfRule type="duplicateValues" dxfId="42" priority="41"/>
    <cfRule type="duplicateValues" dxfId="41" priority="4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5125-5A29-4175-82A1-B0720612DCCF}">
  <dimension ref="A1:AL189"/>
  <sheetViews>
    <sheetView topLeftCell="A3" zoomScale="96" zoomScaleNormal="96" workbookViewId="0">
      <selection activeCell="J139" sqref="J139:J142"/>
    </sheetView>
  </sheetViews>
  <sheetFormatPr defaultRowHeight="13.5"/>
  <cols>
    <col min="1" max="1" width="15.7109375" style="110" customWidth="1"/>
    <col min="2" max="2" width="34.5703125" style="110" customWidth="1"/>
    <col min="3" max="5" width="15.7109375" style="110" customWidth="1"/>
    <col min="6" max="6" width="11.7109375" style="110" customWidth="1"/>
    <col min="7" max="7" width="29.7109375" style="110" customWidth="1"/>
    <col min="8" max="9" width="15.7109375" style="110" customWidth="1"/>
    <col min="10" max="10" width="27.7109375" style="110" customWidth="1"/>
    <col min="11" max="11" width="31.7109375" style="110" customWidth="1"/>
    <col min="12" max="12" width="25" style="110" customWidth="1"/>
    <col min="13" max="13" width="53.85546875" style="110" customWidth="1"/>
    <col min="14" max="14" width="31.85546875" style="110" customWidth="1"/>
    <col min="15" max="15" width="15.7109375" style="110" customWidth="1"/>
    <col min="16" max="16" width="21.7109375" style="110" customWidth="1"/>
    <col min="17" max="26" width="15.7109375" style="110" customWidth="1"/>
    <col min="27" max="27" width="37.42578125" style="110" customWidth="1"/>
    <col min="28" max="28" width="21.5703125" style="110" customWidth="1"/>
    <col min="29" max="29" width="35.28515625" style="110" customWidth="1"/>
    <col min="30" max="32" width="15.7109375" style="110" customWidth="1"/>
    <col min="33" max="33" width="49" style="110" customWidth="1"/>
    <col min="34" max="34" width="15.7109375" style="110" customWidth="1"/>
    <col min="35" max="38" width="9.140625" style="48"/>
    <col min="39" max="16384" width="9.140625" style="110"/>
  </cols>
  <sheetData>
    <row r="1" spans="1:38" ht="20.100000000000001" customHeight="1">
      <c r="A1" s="323" t="s">
        <v>0</v>
      </c>
      <c r="B1" s="323"/>
      <c r="C1" s="323"/>
      <c r="D1" s="323"/>
      <c r="E1" s="323"/>
    </row>
    <row r="2" spans="1:38" ht="20.100000000000001" customHeight="1"/>
    <row r="3" spans="1:38" ht="52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4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3" t="s">
        <v>22</v>
      </c>
      <c r="W3" s="15" t="s">
        <v>23</v>
      </c>
      <c r="X3" s="13" t="s">
        <v>24</v>
      </c>
      <c r="Y3" s="16" t="s">
        <v>25</v>
      </c>
      <c r="Z3" s="16" t="s">
        <v>26</v>
      </c>
      <c r="AA3" s="13" t="s">
        <v>27</v>
      </c>
      <c r="AB3" s="13" t="s">
        <v>28</v>
      </c>
      <c r="AC3" s="13" t="s">
        <v>29</v>
      </c>
      <c r="AD3" s="13"/>
      <c r="AE3" s="13" t="s">
        <v>646</v>
      </c>
      <c r="AF3" s="13" t="s">
        <v>647</v>
      </c>
      <c r="AG3" s="13" t="s">
        <v>645</v>
      </c>
      <c r="AH3" s="13" t="s">
        <v>648</v>
      </c>
    </row>
    <row r="4" spans="1:38" s="238" customFormat="1" ht="15">
      <c r="A4" s="263">
        <v>2305</v>
      </c>
      <c r="B4" s="263" t="s">
        <v>943</v>
      </c>
      <c r="C4" s="263" t="s">
        <v>200</v>
      </c>
      <c r="D4" s="272" t="s">
        <v>200</v>
      </c>
      <c r="E4" s="272" t="s">
        <v>200</v>
      </c>
      <c r="F4" s="272" t="s">
        <v>200</v>
      </c>
      <c r="G4" s="291" t="s">
        <v>834</v>
      </c>
      <c r="H4" s="272" t="s">
        <v>200</v>
      </c>
      <c r="I4" s="272" t="s">
        <v>801</v>
      </c>
      <c r="J4" s="263">
        <v>1</v>
      </c>
      <c r="K4" s="263" t="s">
        <v>944</v>
      </c>
      <c r="L4" s="263" t="s">
        <v>200</v>
      </c>
      <c r="M4" s="263" t="s">
        <v>200</v>
      </c>
      <c r="N4" s="263" t="s">
        <v>200</v>
      </c>
      <c r="O4" s="263" t="s">
        <v>200</v>
      </c>
      <c r="P4" s="263" t="s">
        <v>200</v>
      </c>
      <c r="Q4" s="263" t="s">
        <v>200</v>
      </c>
      <c r="R4" s="263" t="s">
        <v>200</v>
      </c>
      <c r="S4" s="263" t="s">
        <v>200</v>
      </c>
      <c r="T4" s="263" t="s">
        <v>200</v>
      </c>
      <c r="U4" s="263" t="s">
        <v>200</v>
      </c>
      <c r="V4" s="263" t="s">
        <v>200</v>
      </c>
      <c r="W4" s="263" t="s">
        <v>200</v>
      </c>
      <c r="X4" s="263" t="s">
        <v>200</v>
      </c>
      <c r="Y4" s="263" t="s">
        <v>200</v>
      </c>
      <c r="Z4" s="263" t="s">
        <v>200</v>
      </c>
      <c r="AA4" s="263" t="s">
        <v>200</v>
      </c>
      <c r="AB4" s="263" t="s">
        <v>200</v>
      </c>
      <c r="AC4" s="263" t="s">
        <v>200</v>
      </c>
      <c r="AD4" s="263" t="s">
        <v>200</v>
      </c>
      <c r="AE4" s="272" t="s">
        <v>675</v>
      </c>
      <c r="AF4" s="272" t="s">
        <v>782</v>
      </c>
      <c r="AG4" s="272" t="s">
        <v>864</v>
      </c>
      <c r="AH4" s="263"/>
      <c r="AI4" s="75"/>
      <c r="AJ4" s="75"/>
      <c r="AK4" s="75"/>
      <c r="AL4" s="75"/>
    </row>
    <row r="5" spans="1:38" s="238" customFormat="1" ht="15">
      <c r="A5" s="263">
        <v>9016</v>
      </c>
      <c r="B5" s="263" t="s">
        <v>949</v>
      </c>
      <c r="C5" s="263" t="s">
        <v>200</v>
      </c>
      <c r="D5" s="263" t="s">
        <v>200</v>
      </c>
      <c r="E5" s="263" t="s">
        <v>200</v>
      </c>
      <c r="F5" s="263" t="s">
        <v>200</v>
      </c>
      <c r="G5" s="291" t="s">
        <v>834</v>
      </c>
      <c r="H5" s="263" t="s">
        <v>200</v>
      </c>
      <c r="I5" s="263" t="s">
        <v>801</v>
      </c>
      <c r="J5" s="263" t="s">
        <v>200</v>
      </c>
      <c r="K5" s="263" t="s">
        <v>947</v>
      </c>
      <c r="L5" s="263" t="s">
        <v>200</v>
      </c>
      <c r="M5" s="263" t="s">
        <v>200</v>
      </c>
      <c r="N5" s="263" t="s">
        <v>200</v>
      </c>
      <c r="O5" s="263" t="s">
        <v>200</v>
      </c>
      <c r="P5" s="263" t="s">
        <v>200</v>
      </c>
      <c r="Q5" s="263" t="s">
        <v>200</v>
      </c>
      <c r="R5" s="263" t="s">
        <v>200</v>
      </c>
      <c r="S5" s="263" t="s">
        <v>200</v>
      </c>
      <c r="T5" s="263" t="s">
        <v>200</v>
      </c>
      <c r="U5" s="263" t="s">
        <v>200</v>
      </c>
      <c r="V5" s="263" t="s">
        <v>200</v>
      </c>
      <c r="W5" s="263" t="s">
        <v>200</v>
      </c>
      <c r="X5" s="263" t="s">
        <v>200</v>
      </c>
      <c r="Y5" s="263" t="s">
        <v>200</v>
      </c>
      <c r="Z5" s="263" t="s">
        <v>200</v>
      </c>
      <c r="AA5" s="263" t="s">
        <v>200</v>
      </c>
      <c r="AB5" s="263" t="s">
        <v>200</v>
      </c>
      <c r="AC5" s="263" t="s">
        <v>200</v>
      </c>
      <c r="AD5" s="263" t="s">
        <v>200</v>
      </c>
      <c r="AE5" s="272" t="s">
        <v>675</v>
      </c>
      <c r="AF5" s="272" t="s">
        <v>782</v>
      </c>
      <c r="AG5" s="272" t="s">
        <v>864</v>
      </c>
      <c r="AH5" s="263"/>
      <c r="AI5" s="75"/>
      <c r="AJ5" s="75"/>
      <c r="AK5" s="75"/>
      <c r="AL5" s="75"/>
    </row>
    <row r="6" spans="1:38" s="238" customFormat="1" ht="15">
      <c r="A6" s="263">
        <v>9017</v>
      </c>
      <c r="B6" s="263" t="s">
        <v>950</v>
      </c>
      <c r="C6" s="263" t="s">
        <v>200</v>
      </c>
      <c r="D6" s="263" t="s">
        <v>200</v>
      </c>
      <c r="E6" s="263" t="s">
        <v>200</v>
      </c>
      <c r="F6" s="263" t="s">
        <v>200</v>
      </c>
      <c r="G6" s="291" t="s">
        <v>834</v>
      </c>
      <c r="H6" s="263" t="s">
        <v>200</v>
      </c>
      <c r="I6" s="263" t="s">
        <v>801</v>
      </c>
      <c r="J6" s="263" t="s">
        <v>200</v>
      </c>
      <c r="K6" s="263" t="s">
        <v>947</v>
      </c>
      <c r="L6" s="263" t="s">
        <v>200</v>
      </c>
      <c r="M6" s="263" t="s">
        <v>200</v>
      </c>
      <c r="N6" s="263" t="s">
        <v>200</v>
      </c>
      <c r="O6" s="263" t="s">
        <v>200</v>
      </c>
      <c r="P6" s="263" t="s">
        <v>200</v>
      </c>
      <c r="Q6" s="263" t="s">
        <v>200</v>
      </c>
      <c r="R6" s="263" t="s">
        <v>200</v>
      </c>
      <c r="S6" s="263" t="s">
        <v>200</v>
      </c>
      <c r="T6" s="263" t="s">
        <v>200</v>
      </c>
      <c r="U6" s="263" t="s">
        <v>200</v>
      </c>
      <c r="V6" s="263" t="s">
        <v>200</v>
      </c>
      <c r="W6" s="263" t="s">
        <v>200</v>
      </c>
      <c r="X6" s="263" t="s">
        <v>200</v>
      </c>
      <c r="Y6" s="263" t="s">
        <v>200</v>
      </c>
      <c r="Z6" s="263" t="s">
        <v>200</v>
      </c>
      <c r="AA6" s="263" t="s">
        <v>200</v>
      </c>
      <c r="AB6" s="263" t="s">
        <v>200</v>
      </c>
      <c r="AC6" s="263" t="s">
        <v>200</v>
      </c>
      <c r="AD6" s="263" t="s">
        <v>200</v>
      </c>
      <c r="AE6" s="272" t="s">
        <v>675</v>
      </c>
      <c r="AF6" s="272" t="s">
        <v>782</v>
      </c>
      <c r="AG6" s="272" t="s">
        <v>864</v>
      </c>
      <c r="AH6" s="263"/>
      <c r="AI6" s="75"/>
      <c r="AJ6" s="75"/>
      <c r="AK6" s="75"/>
      <c r="AL6" s="75"/>
    </row>
    <row r="7" spans="1:38" s="238" customFormat="1" ht="15">
      <c r="A7" s="263">
        <v>9018</v>
      </c>
      <c r="B7" s="263" t="s">
        <v>951</v>
      </c>
      <c r="C7" s="263" t="s">
        <v>200</v>
      </c>
      <c r="D7" s="263" t="s">
        <v>200</v>
      </c>
      <c r="E7" s="263" t="s">
        <v>200</v>
      </c>
      <c r="F7" s="263" t="s">
        <v>200</v>
      </c>
      <c r="G7" s="291" t="s">
        <v>834</v>
      </c>
      <c r="H7" s="263" t="s">
        <v>200</v>
      </c>
      <c r="I7" s="263" t="s">
        <v>801</v>
      </c>
      <c r="J7" s="263" t="s">
        <v>200</v>
      </c>
      <c r="K7" s="263" t="s">
        <v>947</v>
      </c>
      <c r="L7" s="263" t="s">
        <v>200</v>
      </c>
      <c r="M7" s="263" t="s">
        <v>200</v>
      </c>
      <c r="N7" s="263" t="s">
        <v>200</v>
      </c>
      <c r="O7" s="263" t="s">
        <v>200</v>
      </c>
      <c r="P7" s="263" t="s">
        <v>200</v>
      </c>
      <c r="Q7" s="263" t="s">
        <v>200</v>
      </c>
      <c r="R7" s="263" t="s">
        <v>200</v>
      </c>
      <c r="S7" s="263" t="s">
        <v>200</v>
      </c>
      <c r="T7" s="263" t="s">
        <v>200</v>
      </c>
      <c r="U7" s="263" t="s">
        <v>200</v>
      </c>
      <c r="V7" s="263" t="s">
        <v>200</v>
      </c>
      <c r="W7" s="263" t="s">
        <v>200</v>
      </c>
      <c r="X7" s="263" t="s">
        <v>200</v>
      </c>
      <c r="Y7" s="263" t="s">
        <v>200</v>
      </c>
      <c r="Z7" s="263" t="s">
        <v>200</v>
      </c>
      <c r="AA7" s="263" t="s">
        <v>200</v>
      </c>
      <c r="AB7" s="263" t="s">
        <v>200</v>
      </c>
      <c r="AC7" s="263" t="s">
        <v>200</v>
      </c>
      <c r="AD7" s="263" t="s">
        <v>200</v>
      </c>
      <c r="AE7" s="272" t="s">
        <v>675</v>
      </c>
      <c r="AF7" s="272" t="s">
        <v>782</v>
      </c>
      <c r="AG7" s="272" t="s">
        <v>864</v>
      </c>
      <c r="AH7" s="263"/>
      <c r="AI7" s="75"/>
      <c r="AJ7" s="75"/>
      <c r="AK7" s="75"/>
      <c r="AL7" s="75"/>
    </row>
    <row r="8" spans="1:38" s="238" customFormat="1" ht="15">
      <c r="A8" s="271">
        <v>1400</v>
      </c>
      <c r="B8" s="272" t="s">
        <v>952</v>
      </c>
      <c r="C8" s="272" t="s">
        <v>200</v>
      </c>
      <c r="D8" s="272" t="s">
        <v>200</v>
      </c>
      <c r="E8" s="272" t="s">
        <v>200</v>
      </c>
      <c r="F8" s="272" t="s">
        <v>200</v>
      </c>
      <c r="G8" s="291" t="s">
        <v>834</v>
      </c>
      <c r="H8" s="272" t="s">
        <v>200</v>
      </c>
      <c r="I8" s="272" t="s">
        <v>801</v>
      </c>
      <c r="J8" s="263">
        <v>1</v>
      </c>
      <c r="K8" s="272" t="s">
        <v>908</v>
      </c>
      <c r="L8" s="272" t="s">
        <v>953</v>
      </c>
      <c r="M8" s="272"/>
      <c r="N8" s="272"/>
      <c r="O8" s="272"/>
      <c r="P8" s="272"/>
      <c r="Q8" s="272"/>
      <c r="R8" s="272"/>
      <c r="S8" s="272"/>
      <c r="T8" s="272"/>
      <c r="U8" s="272" t="s">
        <v>200</v>
      </c>
      <c r="V8" s="263" t="s">
        <v>200</v>
      </c>
      <c r="W8" s="274">
        <v>1000</v>
      </c>
      <c r="X8" s="274"/>
      <c r="Y8" s="272"/>
      <c r="Z8" s="272"/>
      <c r="AA8" s="272"/>
      <c r="AB8" s="263"/>
      <c r="AC8" s="263"/>
      <c r="AD8" s="263"/>
      <c r="AE8" s="272" t="s">
        <v>675</v>
      </c>
      <c r="AF8" s="272" t="s">
        <v>782</v>
      </c>
      <c r="AG8" s="272" t="s">
        <v>864</v>
      </c>
      <c r="AH8" s="263"/>
      <c r="AI8" s="75"/>
      <c r="AJ8" s="75"/>
      <c r="AK8" s="75"/>
      <c r="AL8" s="75"/>
    </row>
    <row r="9" spans="1:38" s="238" customFormat="1" ht="15">
      <c r="A9" s="271">
        <v>1401</v>
      </c>
      <c r="B9" s="272" t="s">
        <v>952</v>
      </c>
      <c r="C9" s="272" t="s">
        <v>200</v>
      </c>
      <c r="D9" s="272" t="s">
        <v>200</v>
      </c>
      <c r="E9" s="272" t="s">
        <v>200</v>
      </c>
      <c r="F9" s="272" t="s">
        <v>200</v>
      </c>
      <c r="G9" s="291" t="s">
        <v>834</v>
      </c>
      <c r="H9" s="272" t="s">
        <v>200</v>
      </c>
      <c r="I9" s="272" t="s">
        <v>801</v>
      </c>
      <c r="J9" s="263">
        <v>1</v>
      </c>
      <c r="K9" s="272" t="s">
        <v>954</v>
      </c>
      <c r="L9" s="272"/>
      <c r="M9" s="272"/>
      <c r="N9" s="272"/>
      <c r="O9" s="272"/>
      <c r="P9" s="272"/>
      <c r="Q9" s="272"/>
      <c r="R9" s="272"/>
      <c r="S9" s="272"/>
      <c r="T9" s="272"/>
      <c r="U9" s="272" t="s">
        <v>200</v>
      </c>
      <c r="V9" s="263" t="s">
        <v>200</v>
      </c>
      <c r="W9" s="274">
        <v>1000</v>
      </c>
      <c r="X9" s="274"/>
      <c r="Y9" s="272"/>
      <c r="Z9" s="272"/>
      <c r="AA9" s="272"/>
      <c r="AB9" s="263"/>
      <c r="AC9" s="263"/>
      <c r="AD9" s="263"/>
      <c r="AE9" s="272" t="s">
        <v>675</v>
      </c>
      <c r="AF9" s="272" t="s">
        <v>782</v>
      </c>
      <c r="AG9" s="272" t="s">
        <v>864</v>
      </c>
      <c r="AH9" s="263"/>
      <c r="AI9" s="75"/>
      <c r="AJ9" s="75"/>
      <c r="AK9" s="75"/>
      <c r="AL9" s="75"/>
    </row>
    <row r="10" spans="1:38" s="238" customFormat="1" ht="15">
      <c r="A10" s="271">
        <v>1402</v>
      </c>
      <c r="B10" s="272" t="s">
        <v>952</v>
      </c>
      <c r="C10" s="272" t="s">
        <v>200</v>
      </c>
      <c r="D10" s="272" t="s">
        <v>200</v>
      </c>
      <c r="E10" s="272" t="s">
        <v>200</v>
      </c>
      <c r="F10" s="272" t="s">
        <v>200</v>
      </c>
      <c r="G10" s="291" t="s">
        <v>834</v>
      </c>
      <c r="H10" s="272" t="s">
        <v>200</v>
      </c>
      <c r="I10" s="272" t="s">
        <v>801</v>
      </c>
      <c r="J10" s="263">
        <v>1</v>
      </c>
      <c r="K10" s="272" t="s">
        <v>955</v>
      </c>
      <c r="L10" s="272" t="s">
        <v>956</v>
      </c>
      <c r="M10" s="272" t="s">
        <v>957</v>
      </c>
      <c r="N10" s="272"/>
      <c r="O10" s="272"/>
      <c r="P10" s="272"/>
      <c r="Q10" s="272"/>
      <c r="R10" s="272"/>
      <c r="S10" s="272"/>
      <c r="T10" s="272"/>
      <c r="U10" s="272" t="s">
        <v>200</v>
      </c>
      <c r="V10" s="263" t="s">
        <v>200</v>
      </c>
      <c r="W10" s="274">
        <v>1000</v>
      </c>
      <c r="X10" s="274"/>
      <c r="Y10" s="272"/>
      <c r="Z10" s="272"/>
      <c r="AA10" s="272"/>
      <c r="AB10" s="263"/>
      <c r="AC10" s="263"/>
      <c r="AD10" s="263"/>
      <c r="AE10" s="272" t="s">
        <v>675</v>
      </c>
      <c r="AF10" s="272" t="s">
        <v>782</v>
      </c>
      <c r="AG10" s="272" t="s">
        <v>864</v>
      </c>
      <c r="AH10" s="263"/>
      <c r="AI10" s="75"/>
      <c r="AJ10" s="75"/>
      <c r="AK10" s="75"/>
      <c r="AL10" s="75"/>
    </row>
    <row r="11" spans="1:38" s="238" customFormat="1" ht="15">
      <c r="A11" s="271">
        <v>1403</v>
      </c>
      <c r="B11" s="272" t="s">
        <v>952</v>
      </c>
      <c r="C11" s="272" t="s">
        <v>200</v>
      </c>
      <c r="D11" s="272" t="s">
        <v>200</v>
      </c>
      <c r="E11" s="272" t="s">
        <v>200</v>
      </c>
      <c r="F11" s="272" t="s">
        <v>200</v>
      </c>
      <c r="G11" s="291" t="s">
        <v>834</v>
      </c>
      <c r="H11" s="272" t="s">
        <v>200</v>
      </c>
      <c r="I11" s="272" t="s">
        <v>801</v>
      </c>
      <c r="J11" s="263">
        <v>1</v>
      </c>
      <c r="K11" s="272" t="s">
        <v>955</v>
      </c>
      <c r="L11" s="272" t="s">
        <v>958</v>
      </c>
      <c r="M11" s="272" t="s">
        <v>959</v>
      </c>
      <c r="N11" s="272"/>
      <c r="O11" s="272"/>
      <c r="P11" s="272"/>
      <c r="Q11" s="272"/>
      <c r="R11" s="272"/>
      <c r="S11" s="272"/>
      <c r="T11" s="272"/>
      <c r="U11" s="272" t="s">
        <v>200</v>
      </c>
      <c r="V11" s="263" t="s">
        <v>200</v>
      </c>
      <c r="W11" s="274">
        <v>1000</v>
      </c>
      <c r="X11" s="274"/>
      <c r="Y11" s="272"/>
      <c r="Z11" s="272"/>
      <c r="AA11" s="272"/>
      <c r="AB11" s="263"/>
      <c r="AC11" s="263"/>
      <c r="AD11" s="263"/>
      <c r="AE11" s="272" t="s">
        <v>675</v>
      </c>
      <c r="AF11" s="272" t="s">
        <v>782</v>
      </c>
      <c r="AG11" s="272" t="s">
        <v>864</v>
      </c>
      <c r="AH11" s="263"/>
      <c r="AI11" s="75"/>
      <c r="AJ11" s="75"/>
      <c r="AK11" s="75"/>
      <c r="AL11" s="75"/>
    </row>
    <row r="12" spans="1:38" s="238" customFormat="1" ht="15">
      <c r="A12" s="271">
        <v>1404</v>
      </c>
      <c r="B12" s="272" t="s">
        <v>952</v>
      </c>
      <c r="C12" s="272" t="s">
        <v>200</v>
      </c>
      <c r="D12" s="272" t="s">
        <v>200</v>
      </c>
      <c r="E12" s="272" t="s">
        <v>200</v>
      </c>
      <c r="F12" s="272" t="s">
        <v>200</v>
      </c>
      <c r="G12" s="291" t="s">
        <v>834</v>
      </c>
      <c r="H12" s="272" t="s">
        <v>200</v>
      </c>
      <c r="I12" s="272" t="s">
        <v>801</v>
      </c>
      <c r="J12" s="263">
        <v>1</v>
      </c>
      <c r="K12" s="272" t="s">
        <v>955</v>
      </c>
      <c r="L12" s="272" t="s">
        <v>956</v>
      </c>
      <c r="M12" s="272" t="s">
        <v>960</v>
      </c>
      <c r="N12" s="272"/>
      <c r="O12" s="272"/>
      <c r="P12" s="272"/>
      <c r="Q12" s="272"/>
      <c r="R12" s="272"/>
      <c r="S12" s="272"/>
      <c r="T12" s="272"/>
      <c r="U12" s="272" t="s">
        <v>200</v>
      </c>
      <c r="V12" s="263" t="s">
        <v>200</v>
      </c>
      <c r="W12" s="274">
        <v>1000</v>
      </c>
      <c r="X12" s="274"/>
      <c r="Y12" s="272"/>
      <c r="Z12" s="272"/>
      <c r="AA12" s="272"/>
      <c r="AB12" s="263"/>
      <c r="AC12" s="263"/>
      <c r="AD12" s="263"/>
      <c r="AE12" s="272" t="s">
        <v>675</v>
      </c>
      <c r="AF12" s="272" t="s">
        <v>782</v>
      </c>
      <c r="AG12" s="272" t="s">
        <v>864</v>
      </c>
      <c r="AH12" s="263"/>
      <c r="AI12" s="75"/>
      <c r="AJ12" s="75"/>
      <c r="AK12" s="75"/>
      <c r="AL12" s="75"/>
    </row>
    <row r="13" spans="1:38" s="238" customFormat="1" ht="15">
      <c r="A13" s="271">
        <v>1405</v>
      </c>
      <c r="B13" s="272" t="s">
        <v>952</v>
      </c>
      <c r="C13" s="272" t="s">
        <v>200</v>
      </c>
      <c r="D13" s="272" t="s">
        <v>200</v>
      </c>
      <c r="E13" s="272" t="s">
        <v>200</v>
      </c>
      <c r="F13" s="272" t="s">
        <v>200</v>
      </c>
      <c r="G13" s="291" t="s">
        <v>834</v>
      </c>
      <c r="H13" s="272" t="s">
        <v>200</v>
      </c>
      <c r="I13" s="272" t="s">
        <v>801</v>
      </c>
      <c r="J13" s="263">
        <v>1</v>
      </c>
      <c r="K13" s="272" t="s">
        <v>961</v>
      </c>
      <c r="L13" s="272" t="s">
        <v>962</v>
      </c>
      <c r="M13" s="272" t="s">
        <v>963</v>
      </c>
      <c r="N13" s="272"/>
      <c r="O13" s="272"/>
      <c r="P13" s="272"/>
      <c r="Q13" s="272"/>
      <c r="R13" s="272"/>
      <c r="S13" s="272"/>
      <c r="T13" s="272"/>
      <c r="U13" s="272" t="s">
        <v>200</v>
      </c>
      <c r="V13" s="263" t="s">
        <v>200</v>
      </c>
      <c r="W13" s="274">
        <v>1000</v>
      </c>
      <c r="X13" s="274"/>
      <c r="Y13" s="272"/>
      <c r="Z13" s="272"/>
      <c r="AA13" s="272"/>
      <c r="AB13" s="263"/>
      <c r="AC13" s="263"/>
      <c r="AD13" s="263"/>
      <c r="AE13" s="272" t="s">
        <v>675</v>
      </c>
      <c r="AF13" s="272" t="s">
        <v>782</v>
      </c>
      <c r="AG13" s="272" t="s">
        <v>964</v>
      </c>
      <c r="AH13" s="263"/>
      <c r="AI13" s="75"/>
      <c r="AJ13" s="75"/>
      <c r="AK13" s="75"/>
      <c r="AL13" s="75"/>
    </row>
    <row r="14" spans="1:38" s="238" customFormat="1" ht="15">
      <c r="A14" s="271">
        <v>1406</v>
      </c>
      <c r="B14" s="272" t="s">
        <v>952</v>
      </c>
      <c r="C14" s="272" t="s">
        <v>200</v>
      </c>
      <c r="D14" s="272" t="s">
        <v>200</v>
      </c>
      <c r="E14" s="272" t="s">
        <v>200</v>
      </c>
      <c r="F14" s="272" t="s">
        <v>200</v>
      </c>
      <c r="G14" s="291" t="s">
        <v>834</v>
      </c>
      <c r="H14" s="272" t="s">
        <v>200</v>
      </c>
      <c r="I14" s="272" t="s">
        <v>801</v>
      </c>
      <c r="J14" s="263">
        <v>1</v>
      </c>
      <c r="K14" s="272" t="s">
        <v>955</v>
      </c>
      <c r="L14" s="272" t="s">
        <v>965</v>
      </c>
      <c r="M14" s="272"/>
      <c r="N14" s="272"/>
      <c r="O14" s="272"/>
      <c r="P14" s="272"/>
      <c r="Q14" s="272"/>
      <c r="R14" s="272"/>
      <c r="S14" s="272"/>
      <c r="T14" s="272"/>
      <c r="U14" s="272" t="s">
        <v>200</v>
      </c>
      <c r="V14" s="263" t="s">
        <v>200</v>
      </c>
      <c r="W14" s="274">
        <v>1000</v>
      </c>
      <c r="X14" s="274"/>
      <c r="Y14" s="272"/>
      <c r="Z14" s="272"/>
      <c r="AA14" s="272"/>
      <c r="AB14" s="263"/>
      <c r="AC14" s="263"/>
      <c r="AD14" s="263"/>
      <c r="AE14" s="272" t="s">
        <v>675</v>
      </c>
      <c r="AF14" s="272" t="s">
        <v>782</v>
      </c>
      <c r="AG14" s="272" t="s">
        <v>964</v>
      </c>
      <c r="AH14" s="263"/>
      <c r="AI14" s="75"/>
      <c r="AJ14" s="75"/>
      <c r="AK14" s="75"/>
      <c r="AL14" s="75"/>
    </row>
    <row r="15" spans="1:38" s="238" customFormat="1" ht="15">
      <c r="A15" s="271">
        <v>1407</v>
      </c>
      <c r="B15" s="272" t="s">
        <v>952</v>
      </c>
      <c r="C15" s="272" t="s">
        <v>200</v>
      </c>
      <c r="D15" s="272" t="s">
        <v>200</v>
      </c>
      <c r="E15" s="272" t="s">
        <v>200</v>
      </c>
      <c r="F15" s="272" t="s">
        <v>200</v>
      </c>
      <c r="G15" s="291" t="s">
        <v>834</v>
      </c>
      <c r="H15" s="272" t="s">
        <v>200</v>
      </c>
      <c r="I15" s="272" t="s">
        <v>801</v>
      </c>
      <c r="J15" s="263">
        <v>1</v>
      </c>
      <c r="K15" s="272" t="s">
        <v>966</v>
      </c>
      <c r="L15" s="272" t="s">
        <v>967</v>
      </c>
      <c r="M15" s="272" t="s">
        <v>968</v>
      </c>
      <c r="N15" s="272"/>
      <c r="O15" s="272"/>
      <c r="P15" s="272"/>
      <c r="Q15" s="272"/>
      <c r="R15" s="272"/>
      <c r="S15" s="272"/>
      <c r="T15" s="272"/>
      <c r="U15" s="272" t="s">
        <v>200</v>
      </c>
      <c r="V15" s="263" t="s">
        <v>200</v>
      </c>
      <c r="W15" s="274">
        <v>1000</v>
      </c>
      <c r="X15" s="274"/>
      <c r="Y15" s="272"/>
      <c r="Z15" s="272"/>
      <c r="AA15" s="272"/>
      <c r="AB15" s="263"/>
      <c r="AC15" s="263"/>
      <c r="AD15" s="263"/>
      <c r="AE15" s="272" t="s">
        <v>675</v>
      </c>
      <c r="AF15" s="272" t="s">
        <v>782</v>
      </c>
      <c r="AG15" s="272" t="s">
        <v>964</v>
      </c>
      <c r="AH15" s="263"/>
      <c r="AI15" s="75"/>
      <c r="AJ15" s="75"/>
      <c r="AK15" s="75"/>
      <c r="AL15" s="75"/>
    </row>
    <row r="16" spans="1:38" s="238" customFormat="1" ht="15">
      <c r="A16" s="271">
        <v>1408</v>
      </c>
      <c r="B16" s="272" t="s">
        <v>952</v>
      </c>
      <c r="C16" s="272" t="s">
        <v>200</v>
      </c>
      <c r="D16" s="272" t="s">
        <v>200</v>
      </c>
      <c r="E16" s="272" t="s">
        <v>200</v>
      </c>
      <c r="F16" s="272" t="s">
        <v>200</v>
      </c>
      <c r="G16" s="291" t="s">
        <v>834</v>
      </c>
      <c r="H16" s="272" t="s">
        <v>200</v>
      </c>
      <c r="I16" s="272" t="s">
        <v>801</v>
      </c>
      <c r="J16" s="263">
        <v>1</v>
      </c>
      <c r="K16" s="272" t="s">
        <v>969</v>
      </c>
      <c r="L16" s="272" t="s">
        <v>970</v>
      </c>
      <c r="M16" s="272"/>
      <c r="N16" s="272"/>
      <c r="O16" s="272"/>
      <c r="P16" s="272"/>
      <c r="Q16" s="272"/>
      <c r="R16" s="272"/>
      <c r="S16" s="272"/>
      <c r="T16" s="272"/>
      <c r="U16" s="272" t="s">
        <v>200</v>
      </c>
      <c r="V16" s="263" t="s">
        <v>200</v>
      </c>
      <c r="W16" s="274">
        <v>1000</v>
      </c>
      <c r="X16" s="274"/>
      <c r="Y16" s="272"/>
      <c r="Z16" s="272"/>
      <c r="AA16" s="272"/>
      <c r="AB16" s="263"/>
      <c r="AC16" s="263"/>
      <c r="AD16" s="263"/>
      <c r="AE16" s="272" t="s">
        <v>675</v>
      </c>
      <c r="AF16" s="272" t="s">
        <v>782</v>
      </c>
      <c r="AG16" s="272" t="s">
        <v>964</v>
      </c>
      <c r="AH16" s="263"/>
      <c r="AI16" s="75"/>
      <c r="AJ16" s="75"/>
      <c r="AK16" s="75"/>
      <c r="AL16" s="75"/>
    </row>
    <row r="17" spans="1:38" s="238" customFormat="1" ht="15">
      <c r="A17" s="271">
        <v>1409</v>
      </c>
      <c r="B17" s="272" t="s">
        <v>952</v>
      </c>
      <c r="C17" s="272" t="s">
        <v>200</v>
      </c>
      <c r="D17" s="272" t="s">
        <v>200</v>
      </c>
      <c r="E17" s="272" t="s">
        <v>200</v>
      </c>
      <c r="F17" s="272" t="s">
        <v>200</v>
      </c>
      <c r="G17" s="291" t="s">
        <v>834</v>
      </c>
      <c r="H17" s="272" t="s">
        <v>200</v>
      </c>
      <c r="I17" s="272" t="s">
        <v>801</v>
      </c>
      <c r="J17" s="263">
        <v>1</v>
      </c>
      <c r="K17" s="272" t="s">
        <v>971</v>
      </c>
      <c r="L17" s="272" t="s">
        <v>972</v>
      </c>
      <c r="M17" s="272">
        <v>36204363</v>
      </c>
      <c r="N17" s="272"/>
      <c r="O17" s="272"/>
      <c r="P17" s="272"/>
      <c r="Q17" s="272"/>
      <c r="R17" s="272"/>
      <c r="S17" s="272"/>
      <c r="T17" s="272"/>
      <c r="U17" s="272" t="s">
        <v>200</v>
      </c>
      <c r="V17" s="263" t="s">
        <v>200</v>
      </c>
      <c r="W17" s="274">
        <v>1000</v>
      </c>
      <c r="X17" s="274"/>
      <c r="Y17" s="272"/>
      <c r="Z17" s="272"/>
      <c r="AA17" s="272"/>
      <c r="AB17" s="263"/>
      <c r="AC17" s="263"/>
      <c r="AD17" s="263"/>
      <c r="AE17" s="272" t="s">
        <v>675</v>
      </c>
      <c r="AF17" s="272" t="s">
        <v>782</v>
      </c>
      <c r="AG17" s="272" t="s">
        <v>964</v>
      </c>
      <c r="AH17" s="263"/>
      <c r="AI17" s="75"/>
      <c r="AJ17" s="75"/>
      <c r="AK17" s="75"/>
      <c r="AL17" s="75"/>
    </row>
    <row r="18" spans="1:38" s="238" customFormat="1">
      <c r="A18" s="275">
        <v>1502</v>
      </c>
      <c r="B18" s="263" t="s">
        <v>349</v>
      </c>
      <c r="C18" s="263" t="s">
        <v>200</v>
      </c>
      <c r="D18" s="263" t="s">
        <v>200</v>
      </c>
      <c r="E18" s="260" t="s">
        <v>200</v>
      </c>
      <c r="F18" s="263" t="s">
        <v>200</v>
      </c>
      <c r="G18" s="252" t="s">
        <v>834</v>
      </c>
      <c r="H18" s="263" t="s">
        <v>200</v>
      </c>
      <c r="I18" s="263" t="s">
        <v>801</v>
      </c>
      <c r="J18" s="263">
        <v>1</v>
      </c>
      <c r="K18" s="263" t="s">
        <v>44</v>
      </c>
      <c r="L18" s="263" t="s">
        <v>200</v>
      </c>
      <c r="M18" s="263" t="s">
        <v>883</v>
      </c>
      <c r="N18" s="263"/>
      <c r="O18" s="263"/>
      <c r="P18" s="263"/>
      <c r="Q18" s="263"/>
      <c r="R18" s="263"/>
      <c r="S18" s="263"/>
      <c r="T18" s="263"/>
      <c r="U18" s="263"/>
      <c r="V18" s="263" t="s">
        <v>200</v>
      </c>
      <c r="W18" s="265">
        <v>34990</v>
      </c>
      <c r="X18" s="265">
        <v>34990</v>
      </c>
      <c r="Y18" s="265">
        <v>699.8</v>
      </c>
      <c r="Z18" s="263"/>
      <c r="AA18" s="263"/>
      <c r="AB18" s="263"/>
      <c r="AC18" s="263"/>
      <c r="AD18" s="263"/>
      <c r="AE18" s="263">
        <v>191125</v>
      </c>
      <c r="AF18" s="263" t="s">
        <v>715</v>
      </c>
      <c r="AG18" s="263" t="s">
        <v>884</v>
      </c>
      <c r="AH18" s="263"/>
      <c r="AI18" s="75"/>
      <c r="AJ18" s="75"/>
      <c r="AK18" s="75"/>
      <c r="AL18" s="75"/>
    </row>
    <row r="19" spans="1:38" s="238" customFormat="1">
      <c r="A19" s="275">
        <v>1501</v>
      </c>
      <c r="B19" s="263" t="s">
        <v>349</v>
      </c>
      <c r="C19" s="263" t="s">
        <v>200</v>
      </c>
      <c r="D19" s="263" t="s">
        <v>200</v>
      </c>
      <c r="E19" s="260" t="s">
        <v>200</v>
      </c>
      <c r="F19" s="263" t="s">
        <v>200</v>
      </c>
      <c r="G19" s="252" t="s">
        <v>834</v>
      </c>
      <c r="H19" s="263" t="s">
        <v>200</v>
      </c>
      <c r="I19" s="263" t="s">
        <v>801</v>
      </c>
      <c r="J19" s="263">
        <v>1</v>
      </c>
      <c r="K19" s="263" t="s">
        <v>44</v>
      </c>
      <c r="L19" s="263" t="s">
        <v>200</v>
      </c>
      <c r="M19" s="263" t="s">
        <v>885</v>
      </c>
      <c r="N19" s="263"/>
      <c r="O19" s="263"/>
      <c r="P19" s="263"/>
      <c r="Q19" s="263"/>
      <c r="R19" s="263"/>
      <c r="S19" s="263"/>
      <c r="T19" s="263"/>
      <c r="U19" s="263"/>
      <c r="V19" s="263" t="s">
        <v>200</v>
      </c>
      <c r="W19" s="265">
        <v>4500</v>
      </c>
      <c r="X19" s="265">
        <v>4500</v>
      </c>
      <c r="Y19" s="265">
        <v>90</v>
      </c>
      <c r="Z19" s="263"/>
      <c r="AA19" s="263"/>
      <c r="AB19" s="263"/>
      <c r="AC19" s="263"/>
      <c r="AD19" s="263"/>
      <c r="AE19" s="263">
        <v>220107</v>
      </c>
      <c r="AF19" s="263" t="s">
        <v>782</v>
      </c>
      <c r="AG19" s="263" t="s">
        <v>815</v>
      </c>
      <c r="AH19" s="263"/>
      <c r="AI19" s="75"/>
      <c r="AJ19" s="75"/>
      <c r="AK19" s="75"/>
      <c r="AL19" s="75"/>
    </row>
    <row r="20" spans="1:38" s="252" customFormat="1">
      <c r="A20" s="275">
        <v>1500</v>
      </c>
      <c r="B20" s="263" t="s">
        <v>349</v>
      </c>
      <c r="C20" s="263" t="s">
        <v>200</v>
      </c>
      <c r="D20" s="263" t="s">
        <v>200</v>
      </c>
      <c r="E20" s="260" t="s">
        <v>200</v>
      </c>
      <c r="F20" s="263" t="s">
        <v>200</v>
      </c>
      <c r="G20" s="252" t="s">
        <v>834</v>
      </c>
      <c r="H20" s="263" t="s">
        <v>200</v>
      </c>
      <c r="I20" s="263" t="s">
        <v>801</v>
      </c>
      <c r="J20" s="263">
        <v>1</v>
      </c>
      <c r="K20" s="263" t="s">
        <v>44</v>
      </c>
      <c r="L20" s="263" t="s">
        <v>200</v>
      </c>
      <c r="M20" s="263" t="s">
        <v>887</v>
      </c>
      <c r="N20" s="263"/>
      <c r="O20" s="263"/>
      <c r="P20" s="263"/>
      <c r="Q20" s="263"/>
      <c r="R20" s="263"/>
      <c r="S20" s="263"/>
      <c r="T20" s="263"/>
      <c r="U20" s="263"/>
      <c r="V20" s="263" t="s">
        <v>200</v>
      </c>
      <c r="W20" s="265">
        <v>10000</v>
      </c>
      <c r="X20" s="265">
        <v>10000</v>
      </c>
      <c r="Y20" s="265">
        <v>200</v>
      </c>
      <c r="Z20" s="263"/>
      <c r="AA20" s="263"/>
      <c r="AB20" s="265"/>
      <c r="AC20" s="263"/>
      <c r="AD20" s="263"/>
      <c r="AE20" s="263">
        <v>220916</v>
      </c>
      <c r="AF20" s="263" t="s">
        <v>782</v>
      </c>
      <c r="AG20" s="263" t="s">
        <v>830</v>
      </c>
      <c r="AH20" s="263"/>
      <c r="AI20" s="19"/>
      <c r="AJ20" s="19"/>
      <c r="AK20" s="19"/>
      <c r="AL20" s="19"/>
    </row>
    <row r="21" spans="1:38" s="252" customFormat="1">
      <c r="A21" s="275">
        <v>1503</v>
      </c>
      <c r="B21" s="263" t="s">
        <v>349</v>
      </c>
      <c r="C21" s="263" t="s">
        <v>200</v>
      </c>
      <c r="D21" s="263" t="s">
        <v>200</v>
      </c>
      <c r="E21" s="260" t="s">
        <v>200</v>
      </c>
      <c r="F21" s="263" t="s">
        <v>200</v>
      </c>
      <c r="G21" s="252" t="s">
        <v>834</v>
      </c>
      <c r="H21" s="263" t="s">
        <v>200</v>
      </c>
      <c r="I21" s="263" t="s">
        <v>801</v>
      </c>
      <c r="J21" s="263">
        <v>1</v>
      </c>
      <c r="K21" s="263" t="s">
        <v>888</v>
      </c>
      <c r="L21" s="263" t="s">
        <v>200</v>
      </c>
      <c r="M21" s="263" t="s">
        <v>889</v>
      </c>
      <c r="N21" s="263"/>
      <c r="O21" s="263"/>
      <c r="P21" s="263"/>
      <c r="Q21" s="263"/>
      <c r="R21" s="263"/>
      <c r="S21" s="263"/>
      <c r="T21" s="263"/>
      <c r="U21" s="263"/>
      <c r="V21" s="263" t="s">
        <v>200</v>
      </c>
      <c r="W21" s="265">
        <v>8000</v>
      </c>
      <c r="X21" s="276">
        <v>8000</v>
      </c>
      <c r="Y21" s="265">
        <v>160</v>
      </c>
      <c r="Z21" s="263"/>
      <c r="AA21" s="263"/>
      <c r="AB21" s="263"/>
      <c r="AC21" s="263"/>
      <c r="AD21" s="263"/>
      <c r="AE21" s="263" t="s">
        <v>675</v>
      </c>
      <c r="AF21" s="263" t="s">
        <v>782</v>
      </c>
      <c r="AG21" s="263" t="s">
        <v>864</v>
      </c>
      <c r="AH21" s="263"/>
      <c r="AI21" s="19"/>
      <c r="AJ21" s="19"/>
      <c r="AK21" s="19"/>
      <c r="AL21" s="19"/>
    </row>
    <row r="22" spans="1:38" s="252" customFormat="1">
      <c r="A22" s="275">
        <v>1504</v>
      </c>
      <c r="B22" s="263" t="s">
        <v>349</v>
      </c>
      <c r="C22" s="263" t="s">
        <v>200</v>
      </c>
      <c r="D22" s="263" t="s">
        <v>200</v>
      </c>
      <c r="E22" s="260" t="s">
        <v>200</v>
      </c>
      <c r="F22" s="263" t="s">
        <v>200</v>
      </c>
      <c r="G22" s="252" t="s">
        <v>834</v>
      </c>
      <c r="H22" s="263" t="s">
        <v>200</v>
      </c>
      <c r="I22" s="263" t="s">
        <v>801</v>
      </c>
      <c r="J22" s="263">
        <v>1</v>
      </c>
      <c r="K22" s="263" t="s">
        <v>890</v>
      </c>
      <c r="L22" s="263" t="s">
        <v>200</v>
      </c>
      <c r="M22" s="263" t="s">
        <v>891</v>
      </c>
      <c r="N22" s="263"/>
      <c r="O22" s="263"/>
      <c r="P22" s="263"/>
      <c r="Q22" s="263"/>
      <c r="R22" s="263"/>
      <c r="S22" s="263"/>
      <c r="T22" s="263"/>
      <c r="U22" s="263"/>
      <c r="V22" s="263" t="s">
        <v>200</v>
      </c>
      <c r="W22" s="265">
        <v>3974</v>
      </c>
      <c r="X22" s="265">
        <v>3974</v>
      </c>
      <c r="Y22" s="265">
        <v>79.48</v>
      </c>
      <c r="Z22" s="263"/>
      <c r="AA22" s="263"/>
      <c r="AB22" s="263"/>
      <c r="AC22" s="263"/>
      <c r="AD22" s="263"/>
      <c r="AE22" s="263" t="s">
        <v>675</v>
      </c>
      <c r="AF22" s="263" t="s">
        <v>782</v>
      </c>
      <c r="AG22" s="263" t="s">
        <v>864</v>
      </c>
      <c r="AH22" s="263"/>
      <c r="AI22" s="19"/>
      <c r="AJ22" s="19"/>
      <c r="AK22" s="19"/>
      <c r="AL22" s="19"/>
    </row>
    <row r="23" spans="1:38" s="252" customFormat="1">
      <c r="A23" s="275">
        <v>1505</v>
      </c>
      <c r="B23" s="263" t="s">
        <v>349</v>
      </c>
      <c r="C23" s="263" t="s">
        <v>200</v>
      </c>
      <c r="D23" s="263" t="s">
        <v>200</v>
      </c>
      <c r="E23" s="260" t="s">
        <v>200</v>
      </c>
      <c r="F23" s="263" t="s">
        <v>200</v>
      </c>
      <c r="G23" s="252" t="s">
        <v>834</v>
      </c>
      <c r="H23" s="263" t="s">
        <v>200</v>
      </c>
      <c r="I23" s="263" t="s">
        <v>801</v>
      </c>
      <c r="J23" s="263">
        <v>1</v>
      </c>
      <c r="K23" s="263" t="s">
        <v>44</v>
      </c>
      <c r="L23" s="263" t="s">
        <v>200</v>
      </c>
      <c r="M23" s="263" t="s">
        <v>892</v>
      </c>
      <c r="N23" s="275">
        <v>2.5669143250886899E+17</v>
      </c>
      <c r="O23" s="263"/>
      <c r="P23" s="263"/>
      <c r="Q23" s="263"/>
      <c r="R23" s="263"/>
      <c r="S23" s="263"/>
      <c r="T23" s="263"/>
      <c r="U23" s="263"/>
      <c r="V23" s="263" t="s">
        <v>200</v>
      </c>
      <c r="W23" s="265">
        <v>10000</v>
      </c>
      <c r="X23" s="265">
        <v>10000</v>
      </c>
      <c r="Y23" s="265">
        <v>200</v>
      </c>
      <c r="Z23" s="263"/>
      <c r="AA23" s="263"/>
      <c r="AB23" s="263"/>
      <c r="AC23" s="263"/>
      <c r="AD23" s="263"/>
      <c r="AE23" s="263" t="s">
        <v>675</v>
      </c>
      <c r="AF23" s="263" t="s">
        <v>782</v>
      </c>
      <c r="AG23" s="263" t="s">
        <v>864</v>
      </c>
      <c r="AH23" s="263"/>
      <c r="AI23" s="19"/>
      <c r="AJ23" s="19"/>
      <c r="AK23" s="19"/>
      <c r="AL23" s="19"/>
    </row>
    <row r="24" spans="1:38" s="252" customFormat="1" ht="12.75" customHeight="1">
      <c r="A24" s="251">
        <v>300</v>
      </c>
      <c r="B24" s="252" t="s">
        <v>296</v>
      </c>
      <c r="C24" s="252" t="s">
        <v>200</v>
      </c>
      <c r="D24" s="252" t="s">
        <v>200</v>
      </c>
      <c r="E24" s="252" t="s">
        <v>200</v>
      </c>
      <c r="F24" s="252" t="s">
        <v>200</v>
      </c>
      <c r="G24" s="252" t="s">
        <v>834</v>
      </c>
      <c r="H24" s="252" t="s">
        <v>200</v>
      </c>
      <c r="I24" s="252" t="s">
        <v>801</v>
      </c>
      <c r="J24" s="252">
        <v>1</v>
      </c>
      <c r="K24" s="252" t="s">
        <v>151</v>
      </c>
      <c r="L24" s="252" t="s">
        <v>200</v>
      </c>
      <c r="M24" s="252" t="s">
        <v>297</v>
      </c>
      <c r="N24" s="252" t="s">
        <v>298</v>
      </c>
      <c r="P24" s="252" t="s">
        <v>299</v>
      </c>
      <c r="Q24" s="252" t="s">
        <v>300</v>
      </c>
      <c r="R24" s="252" t="s">
        <v>301</v>
      </c>
      <c r="S24" s="252" t="s">
        <v>236</v>
      </c>
      <c r="T24" s="252" t="s">
        <v>302</v>
      </c>
      <c r="U24" s="252" t="s">
        <v>303</v>
      </c>
      <c r="V24" s="237" t="s">
        <v>200</v>
      </c>
      <c r="W24" s="253"/>
      <c r="X24" s="253"/>
      <c r="Y24" s="253"/>
      <c r="AE24" s="252">
        <v>220902</v>
      </c>
      <c r="AF24" s="248" t="s">
        <v>207</v>
      </c>
      <c r="AG24" s="252" t="s">
        <v>802</v>
      </c>
      <c r="AI24" s="19"/>
      <c r="AJ24" s="19"/>
      <c r="AK24" s="19"/>
      <c r="AL24" s="19"/>
    </row>
    <row r="25" spans="1:38" s="252" customFormat="1" ht="12.75">
      <c r="A25" s="251">
        <v>307</v>
      </c>
      <c r="B25" s="248" t="s">
        <v>296</v>
      </c>
      <c r="C25" s="252" t="s">
        <v>200</v>
      </c>
      <c r="D25" s="252" t="s">
        <v>200</v>
      </c>
      <c r="E25" s="252" t="s">
        <v>200</v>
      </c>
      <c r="F25" s="252" t="s">
        <v>200</v>
      </c>
      <c r="G25" s="252" t="s">
        <v>834</v>
      </c>
      <c r="H25" s="252" t="s">
        <v>200</v>
      </c>
      <c r="I25" s="252" t="s">
        <v>801</v>
      </c>
      <c r="J25" s="252">
        <v>1</v>
      </c>
      <c r="K25" s="248" t="s">
        <v>63</v>
      </c>
      <c r="L25" s="252" t="s">
        <v>200</v>
      </c>
      <c r="M25" s="248" t="s">
        <v>803</v>
      </c>
      <c r="N25" s="248"/>
      <c r="O25" s="248"/>
      <c r="P25" s="248" t="s">
        <v>804</v>
      </c>
      <c r="Q25" s="248" t="s">
        <v>805</v>
      </c>
      <c r="R25" s="248" t="s">
        <v>806</v>
      </c>
      <c r="S25" s="248" t="s">
        <v>117</v>
      </c>
      <c r="T25" s="248" t="s">
        <v>714</v>
      </c>
      <c r="U25" s="248" t="s">
        <v>295</v>
      </c>
      <c r="V25" s="237" t="s">
        <v>200</v>
      </c>
      <c r="W25" s="254">
        <v>7000</v>
      </c>
      <c r="X25" s="253">
        <v>7000</v>
      </c>
      <c r="Y25" s="253">
        <v>140</v>
      </c>
      <c r="Z25" s="248"/>
      <c r="AA25" s="255"/>
      <c r="AB25" s="248"/>
      <c r="AE25" s="252">
        <v>221010</v>
      </c>
      <c r="AF25" s="248" t="s">
        <v>715</v>
      </c>
      <c r="AG25" s="252" t="s">
        <v>807</v>
      </c>
      <c r="AI25" s="19"/>
      <c r="AJ25" s="19"/>
      <c r="AK25" s="19"/>
      <c r="AL25" s="19"/>
    </row>
    <row r="26" spans="1:38" s="252" customFormat="1" ht="12.75">
      <c r="A26" s="251">
        <v>305</v>
      </c>
      <c r="B26" s="248" t="s">
        <v>296</v>
      </c>
      <c r="C26" s="252" t="s">
        <v>200</v>
      </c>
      <c r="D26" s="252" t="s">
        <v>200</v>
      </c>
      <c r="E26" s="252" t="s">
        <v>200</v>
      </c>
      <c r="F26" s="252" t="s">
        <v>200</v>
      </c>
      <c r="G26" s="252" t="s">
        <v>834</v>
      </c>
      <c r="H26" s="252" t="s">
        <v>200</v>
      </c>
      <c r="I26" s="252" t="s">
        <v>801</v>
      </c>
      <c r="J26" s="252">
        <v>1</v>
      </c>
      <c r="K26" s="248" t="s">
        <v>808</v>
      </c>
      <c r="L26" s="252" t="s">
        <v>200</v>
      </c>
      <c r="M26" s="248" t="s">
        <v>809</v>
      </c>
      <c r="N26" s="248"/>
      <c r="O26" s="248"/>
      <c r="P26" s="248" t="s">
        <v>810</v>
      </c>
      <c r="Q26" s="248" t="s">
        <v>811</v>
      </c>
      <c r="R26" s="248" t="s">
        <v>806</v>
      </c>
      <c r="S26" s="248" t="s">
        <v>294</v>
      </c>
      <c r="T26" s="248" t="s">
        <v>714</v>
      </c>
      <c r="U26" s="248" t="s">
        <v>812</v>
      </c>
      <c r="V26" s="237" t="s">
        <v>200</v>
      </c>
      <c r="W26" s="254">
        <v>17000</v>
      </c>
      <c r="X26" s="253">
        <v>17000</v>
      </c>
      <c r="Y26" s="253">
        <v>340</v>
      </c>
      <c r="Z26" s="248"/>
      <c r="AA26" s="255"/>
      <c r="AB26" s="248"/>
      <c r="AE26" s="248">
        <v>190204</v>
      </c>
      <c r="AF26" s="248" t="s">
        <v>715</v>
      </c>
      <c r="AG26" s="252" t="s">
        <v>813</v>
      </c>
      <c r="AI26" s="19"/>
      <c r="AJ26" s="19"/>
      <c r="AK26" s="19"/>
      <c r="AL26" s="19"/>
    </row>
    <row r="27" spans="1:38" s="252" customFormat="1" ht="12.75">
      <c r="A27" s="251">
        <v>301</v>
      </c>
      <c r="B27" s="248" t="s">
        <v>296</v>
      </c>
      <c r="C27" s="252" t="s">
        <v>200</v>
      </c>
      <c r="D27" s="252" t="s">
        <v>200</v>
      </c>
      <c r="E27" s="252" t="s">
        <v>200</v>
      </c>
      <c r="F27" s="252" t="s">
        <v>200</v>
      </c>
      <c r="G27" s="252" t="s">
        <v>834</v>
      </c>
      <c r="H27" s="252" t="s">
        <v>200</v>
      </c>
      <c r="I27" s="252" t="s">
        <v>801</v>
      </c>
      <c r="J27" s="252">
        <v>1</v>
      </c>
      <c r="K27" s="248" t="s">
        <v>151</v>
      </c>
      <c r="L27" s="252" t="s">
        <v>200</v>
      </c>
      <c r="M27" s="248" t="s">
        <v>814</v>
      </c>
      <c r="N27" s="248"/>
      <c r="O27" s="248"/>
      <c r="P27" s="248" t="s">
        <v>114</v>
      </c>
      <c r="Q27" s="248" t="s">
        <v>811</v>
      </c>
      <c r="R27" s="248" t="s">
        <v>806</v>
      </c>
      <c r="S27" s="248" t="s">
        <v>131</v>
      </c>
      <c r="T27" s="248" t="s">
        <v>302</v>
      </c>
      <c r="U27" s="248" t="s">
        <v>620</v>
      </c>
      <c r="V27" s="237" t="s">
        <v>200</v>
      </c>
      <c r="W27" s="254">
        <v>19000</v>
      </c>
      <c r="X27" s="253">
        <v>19000</v>
      </c>
      <c r="Y27" s="253">
        <v>380</v>
      </c>
      <c r="Z27" s="248"/>
      <c r="AA27" s="255"/>
      <c r="AB27" s="248"/>
      <c r="AE27" s="252">
        <v>220930</v>
      </c>
      <c r="AF27" s="248" t="s">
        <v>715</v>
      </c>
      <c r="AG27" s="252" t="s">
        <v>815</v>
      </c>
      <c r="AI27" s="19"/>
      <c r="AJ27" s="19"/>
      <c r="AK27" s="19"/>
      <c r="AL27" s="19"/>
    </row>
    <row r="28" spans="1:38" s="252" customFormat="1" ht="12.75">
      <c r="A28" s="251">
        <v>304</v>
      </c>
      <c r="B28" s="248" t="s">
        <v>296</v>
      </c>
      <c r="C28" s="252" t="s">
        <v>200</v>
      </c>
      <c r="D28" s="252" t="s">
        <v>200</v>
      </c>
      <c r="E28" s="252" t="s">
        <v>200</v>
      </c>
      <c r="F28" s="252" t="s">
        <v>200</v>
      </c>
      <c r="G28" s="252" t="s">
        <v>834</v>
      </c>
      <c r="H28" s="252" t="s">
        <v>200</v>
      </c>
      <c r="I28" s="252" t="s">
        <v>801</v>
      </c>
      <c r="J28" s="252">
        <v>1</v>
      </c>
      <c r="K28" s="248" t="s">
        <v>151</v>
      </c>
      <c r="L28" s="252" t="s">
        <v>200</v>
      </c>
      <c r="M28" s="248" t="s">
        <v>816</v>
      </c>
      <c r="N28" s="248"/>
      <c r="O28" s="248"/>
      <c r="P28" s="248" t="s">
        <v>817</v>
      </c>
      <c r="Q28" s="248" t="s">
        <v>818</v>
      </c>
      <c r="R28" s="248" t="s">
        <v>819</v>
      </c>
      <c r="S28" s="248" t="s">
        <v>117</v>
      </c>
      <c r="T28" s="248" t="s">
        <v>714</v>
      </c>
      <c r="U28" s="248" t="s">
        <v>74</v>
      </c>
      <c r="V28" s="237" t="s">
        <v>200</v>
      </c>
      <c r="W28" s="254">
        <v>23000</v>
      </c>
      <c r="X28" s="253">
        <v>23000</v>
      </c>
      <c r="Y28" s="253">
        <v>460</v>
      </c>
      <c r="AA28" s="255"/>
      <c r="AB28" s="248"/>
      <c r="AE28" s="252">
        <v>221103</v>
      </c>
      <c r="AF28" s="252" t="s">
        <v>715</v>
      </c>
      <c r="AG28" s="252" t="s">
        <v>820</v>
      </c>
      <c r="AI28" s="19"/>
      <c r="AJ28" s="19"/>
      <c r="AK28" s="19"/>
      <c r="AL28" s="19"/>
    </row>
    <row r="29" spans="1:38" s="252" customFormat="1" ht="12.75">
      <c r="A29" s="251">
        <v>303</v>
      </c>
      <c r="B29" s="248" t="s">
        <v>296</v>
      </c>
      <c r="C29" s="252" t="s">
        <v>200</v>
      </c>
      <c r="D29" s="252" t="s">
        <v>200</v>
      </c>
      <c r="E29" s="252" t="s">
        <v>200</v>
      </c>
      <c r="F29" s="252" t="s">
        <v>200</v>
      </c>
      <c r="G29" s="252" t="s">
        <v>834</v>
      </c>
      <c r="H29" s="252" t="s">
        <v>200</v>
      </c>
      <c r="I29" s="252" t="s">
        <v>801</v>
      </c>
      <c r="J29" s="252">
        <v>1</v>
      </c>
      <c r="K29" s="248" t="s">
        <v>151</v>
      </c>
      <c r="L29" s="252" t="s">
        <v>200</v>
      </c>
      <c r="M29" s="248" t="s">
        <v>816</v>
      </c>
      <c r="N29" s="248"/>
      <c r="O29" s="248"/>
      <c r="P29" s="248" t="s">
        <v>817</v>
      </c>
      <c r="Q29" s="248" t="s">
        <v>818</v>
      </c>
      <c r="R29" s="248" t="s">
        <v>819</v>
      </c>
      <c r="S29" s="248" t="s">
        <v>117</v>
      </c>
      <c r="T29" s="248" t="s">
        <v>714</v>
      </c>
      <c r="U29" s="248" t="s">
        <v>74</v>
      </c>
      <c r="V29" s="237" t="s">
        <v>200</v>
      </c>
      <c r="W29" s="254">
        <v>23000</v>
      </c>
      <c r="X29" s="253">
        <v>23000</v>
      </c>
      <c r="Y29" s="253">
        <v>460</v>
      </c>
      <c r="Z29" s="248"/>
      <c r="AA29" s="255"/>
      <c r="AB29" s="248"/>
      <c r="AE29" s="252">
        <v>221103</v>
      </c>
      <c r="AF29" s="252" t="s">
        <v>715</v>
      </c>
      <c r="AG29" s="252" t="s">
        <v>820</v>
      </c>
      <c r="AI29" s="19"/>
      <c r="AJ29" s="19"/>
      <c r="AK29" s="19"/>
      <c r="AL29" s="19"/>
    </row>
    <row r="30" spans="1:38" s="238" customFormat="1" ht="13.5" customHeight="1">
      <c r="A30" s="251">
        <v>306</v>
      </c>
      <c r="B30" s="248" t="s">
        <v>296</v>
      </c>
      <c r="C30" s="252" t="s">
        <v>200</v>
      </c>
      <c r="D30" s="252" t="s">
        <v>200</v>
      </c>
      <c r="E30" s="252" t="s">
        <v>200</v>
      </c>
      <c r="F30" s="252" t="s">
        <v>200</v>
      </c>
      <c r="G30" s="252" t="s">
        <v>834</v>
      </c>
      <c r="H30" s="252" t="s">
        <v>200</v>
      </c>
      <c r="I30" s="252" t="s">
        <v>801</v>
      </c>
      <c r="J30" s="252">
        <v>1</v>
      </c>
      <c r="K30" s="248" t="s">
        <v>151</v>
      </c>
      <c r="L30" s="252" t="s">
        <v>200</v>
      </c>
      <c r="M30" s="248" t="s">
        <v>821</v>
      </c>
      <c r="N30" s="248"/>
      <c r="O30" s="248"/>
      <c r="P30" s="248" t="s">
        <v>822</v>
      </c>
      <c r="Q30" s="248" t="s">
        <v>811</v>
      </c>
      <c r="R30" s="248" t="s">
        <v>806</v>
      </c>
      <c r="S30" s="248" t="s">
        <v>147</v>
      </c>
      <c r="T30" s="248" t="s">
        <v>118</v>
      </c>
      <c r="U30" s="248" t="s">
        <v>295</v>
      </c>
      <c r="V30" s="237" t="s">
        <v>200</v>
      </c>
      <c r="W30" s="254">
        <v>18000</v>
      </c>
      <c r="X30" s="253">
        <v>18000</v>
      </c>
      <c r="Y30" s="253">
        <v>360</v>
      </c>
      <c r="Z30" s="248"/>
      <c r="AA30" s="255"/>
      <c r="AB30" s="256"/>
      <c r="AC30" s="252"/>
      <c r="AD30" s="252"/>
      <c r="AE30" s="248">
        <v>211014</v>
      </c>
      <c r="AF30" s="252" t="s">
        <v>715</v>
      </c>
      <c r="AG30" s="252" t="s">
        <v>823</v>
      </c>
      <c r="AH30" s="252"/>
      <c r="AI30" s="75"/>
      <c r="AJ30" s="75"/>
      <c r="AK30" s="75"/>
      <c r="AL30" s="75"/>
    </row>
    <row r="31" spans="1:38" s="238" customFormat="1">
      <c r="A31" s="251">
        <v>308</v>
      </c>
      <c r="B31" s="248" t="s">
        <v>296</v>
      </c>
      <c r="C31" s="252" t="s">
        <v>200</v>
      </c>
      <c r="D31" s="252" t="s">
        <v>200</v>
      </c>
      <c r="E31" s="252" t="s">
        <v>200</v>
      </c>
      <c r="F31" s="252" t="s">
        <v>200</v>
      </c>
      <c r="G31" s="252" t="s">
        <v>834</v>
      </c>
      <c r="H31" s="252" t="s">
        <v>200</v>
      </c>
      <c r="I31" s="252" t="s">
        <v>801</v>
      </c>
      <c r="J31" s="252">
        <v>1</v>
      </c>
      <c r="K31" s="248" t="s">
        <v>824</v>
      </c>
      <c r="L31" s="252" t="s">
        <v>200</v>
      </c>
      <c r="M31" s="248" t="s">
        <v>825</v>
      </c>
      <c r="N31" s="248"/>
      <c r="O31" s="248"/>
      <c r="P31" s="248" t="s">
        <v>826</v>
      </c>
      <c r="Q31" s="248" t="s">
        <v>811</v>
      </c>
      <c r="R31" s="248" t="s">
        <v>806</v>
      </c>
      <c r="S31" s="248" t="s">
        <v>131</v>
      </c>
      <c r="T31" s="248" t="s">
        <v>714</v>
      </c>
      <c r="U31" s="248" t="s">
        <v>295</v>
      </c>
      <c r="V31" s="237" t="s">
        <v>200</v>
      </c>
      <c r="W31" s="254">
        <v>17000</v>
      </c>
      <c r="X31" s="253">
        <v>17000</v>
      </c>
      <c r="Y31" s="253">
        <v>340</v>
      </c>
      <c r="Z31" s="248"/>
      <c r="AA31" s="255"/>
      <c r="AB31" s="248"/>
      <c r="AC31" s="252"/>
      <c r="AD31" s="252"/>
      <c r="AE31" s="252">
        <v>220912</v>
      </c>
      <c r="AF31" s="248" t="s">
        <v>782</v>
      </c>
      <c r="AG31" s="252" t="s">
        <v>827</v>
      </c>
      <c r="AH31" s="252"/>
      <c r="AI31" s="75"/>
      <c r="AJ31" s="75"/>
      <c r="AK31" s="75"/>
      <c r="AL31" s="75"/>
    </row>
    <row r="32" spans="1:38" s="238" customFormat="1">
      <c r="A32" s="251">
        <v>312</v>
      </c>
      <c r="B32" s="248" t="s">
        <v>296</v>
      </c>
      <c r="C32" s="252" t="s">
        <v>200</v>
      </c>
      <c r="D32" s="252" t="s">
        <v>200</v>
      </c>
      <c r="E32" s="252" t="s">
        <v>200</v>
      </c>
      <c r="F32" s="252" t="s">
        <v>200</v>
      </c>
      <c r="G32" s="252" t="s">
        <v>834</v>
      </c>
      <c r="H32" s="252" t="s">
        <v>200</v>
      </c>
      <c r="I32" s="252" t="s">
        <v>801</v>
      </c>
      <c r="J32" s="252">
        <v>1</v>
      </c>
      <c r="K32" s="248" t="s">
        <v>151</v>
      </c>
      <c r="L32" s="252" t="s">
        <v>200</v>
      </c>
      <c r="M32" s="248" t="s">
        <v>828</v>
      </c>
      <c r="N32" s="248"/>
      <c r="O32" s="248"/>
      <c r="P32" s="248" t="s">
        <v>829</v>
      </c>
      <c r="Q32" s="248" t="s">
        <v>279</v>
      </c>
      <c r="R32" s="248" t="s">
        <v>806</v>
      </c>
      <c r="S32" s="248" t="s">
        <v>117</v>
      </c>
      <c r="T32" s="248" t="s">
        <v>118</v>
      </c>
      <c r="U32" s="248" t="s">
        <v>407</v>
      </c>
      <c r="V32" s="237" t="s">
        <v>200</v>
      </c>
      <c r="W32" s="254">
        <v>12000</v>
      </c>
      <c r="X32" s="253">
        <v>12000</v>
      </c>
      <c r="Y32" s="253">
        <v>240</v>
      </c>
      <c r="Z32" s="248"/>
      <c r="AA32" s="255"/>
      <c r="AB32" s="248"/>
      <c r="AC32" s="252"/>
      <c r="AD32" s="252"/>
      <c r="AE32" s="248">
        <v>221109</v>
      </c>
      <c r="AF32" s="248" t="s">
        <v>782</v>
      </c>
      <c r="AG32" s="252" t="s">
        <v>830</v>
      </c>
      <c r="AH32" s="252"/>
      <c r="AI32" s="75"/>
      <c r="AJ32" s="75"/>
      <c r="AK32" s="75"/>
      <c r="AL32" s="75"/>
    </row>
    <row r="33" spans="1:38" s="238" customFormat="1">
      <c r="A33" s="251">
        <v>316</v>
      </c>
      <c r="B33" s="248" t="s">
        <v>296</v>
      </c>
      <c r="C33" s="252" t="s">
        <v>200</v>
      </c>
      <c r="D33" s="252" t="s">
        <v>200</v>
      </c>
      <c r="E33" s="252" t="s">
        <v>200</v>
      </c>
      <c r="F33" s="252" t="s">
        <v>200</v>
      </c>
      <c r="G33" s="252" t="s">
        <v>834</v>
      </c>
      <c r="H33" s="252" t="s">
        <v>200</v>
      </c>
      <c r="I33" s="252" t="s">
        <v>801</v>
      </c>
      <c r="J33" s="252">
        <v>1</v>
      </c>
      <c r="K33" s="248" t="s">
        <v>63</v>
      </c>
      <c r="L33" s="252" t="s">
        <v>200</v>
      </c>
      <c r="M33" s="248" t="s">
        <v>831</v>
      </c>
      <c r="N33" s="248"/>
      <c r="O33" s="248"/>
      <c r="P33" s="248" t="s">
        <v>832</v>
      </c>
      <c r="Q33" s="248" t="s">
        <v>818</v>
      </c>
      <c r="R33" s="248" t="s">
        <v>806</v>
      </c>
      <c r="S33" s="248" t="s">
        <v>294</v>
      </c>
      <c r="T33" s="248" t="s">
        <v>118</v>
      </c>
      <c r="U33" s="248" t="s">
        <v>258</v>
      </c>
      <c r="V33" s="237" t="s">
        <v>200</v>
      </c>
      <c r="W33" s="257">
        <v>5000</v>
      </c>
      <c r="X33" s="253">
        <v>5000</v>
      </c>
      <c r="Y33" s="253">
        <v>100</v>
      </c>
      <c r="Z33" s="248"/>
      <c r="AA33" s="255"/>
      <c r="AB33" s="248"/>
      <c r="AC33" s="252"/>
      <c r="AD33" s="252"/>
      <c r="AE33" s="248">
        <v>191115</v>
      </c>
      <c r="AF33" s="248" t="s">
        <v>782</v>
      </c>
      <c r="AG33" s="252" t="s">
        <v>833</v>
      </c>
      <c r="AH33" s="252"/>
      <c r="AI33" s="75"/>
      <c r="AJ33" s="75"/>
      <c r="AK33" s="75"/>
      <c r="AL33" s="75"/>
    </row>
    <row r="34" spans="1:38" s="238" customFormat="1" ht="15">
      <c r="A34" s="263">
        <v>2303</v>
      </c>
      <c r="B34" s="263" t="s">
        <v>973</v>
      </c>
      <c r="C34" s="263" t="s">
        <v>200</v>
      </c>
      <c r="D34" s="263" t="s">
        <v>200</v>
      </c>
      <c r="E34" s="263" t="s">
        <v>200</v>
      </c>
      <c r="F34" s="263" t="s">
        <v>200</v>
      </c>
      <c r="G34" s="263" t="s">
        <v>834</v>
      </c>
      <c r="H34" s="263" t="s">
        <v>200</v>
      </c>
      <c r="I34" s="263" t="s">
        <v>801</v>
      </c>
      <c r="J34" s="263" t="s">
        <v>200</v>
      </c>
      <c r="K34" s="263" t="s">
        <v>740</v>
      </c>
      <c r="L34" s="272" t="s">
        <v>974</v>
      </c>
      <c r="M34" s="263"/>
      <c r="N34" s="263"/>
      <c r="O34" s="263"/>
      <c r="P34" s="263"/>
      <c r="Q34" s="263"/>
      <c r="R34" s="263"/>
      <c r="S34" s="263"/>
      <c r="T34" s="263"/>
      <c r="U34" s="263" t="s">
        <v>200</v>
      </c>
      <c r="V34" s="263"/>
      <c r="W34" s="263"/>
      <c r="X34" s="263"/>
      <c r="Y34" s="263"/>
      <c r="Z34" s="263"/>
      <c r="AA34" s="263"/>
      <c r="AB34" s="263"/>
      <c r="AC34" s="263"/>
      <c r="AD34" s="263"/>
      <c r="AE34" s="272" t="s">
        <v>675</v>
      </c>
      <c r="AF34" s="272" t="s">
        <v>782</v>
      </c>
      <c r="AG34" s="272" t="s">
        <v>964</v>
      </c>
      <c r="AH34" s="263"/>
      <c r="AI34" s="75"/>
      <c r="AJ34" s="75"/>
      <c r="AK34" s="75"/>
      <c r="AL34" s="75"/>
    </row>
    <row r="35" spans="1:38" s="238" customFormat="1" ht="15">
      <c r="A35" s="263">
        <v>2000</v>
      </c>
      <c r="B35" s="263" t="s">
        <v>975</v>
      </c>
      <c r="C35" s="263" t="s">
        <v>200</v>
      </c>
      <c r="D35" s="263" t="s">
        <v>200</v>
      </c>
      <c r="E35" s="263" t="s">
        <v>200</v>
      </c>
      <c r="F35" s="263" t="s">
        <v>200</v>
      </c>
      <c r="G35" s="263" t="s">
        <v>834</v>
      </c>
      <c r="H35" s="263" t="s">
        <v>200</v>
      </c>
      <c r="I35" s="263" t="s">
        <v>801</v>
      </c>
      <c r="J35" s="263" t="s">
        <v>200</v>
      </c>
      <c r="K35" s="263" t="s">
        <v>400</v>
      </c>
      <c r="L35" s="263" t="s">
        <v>200</v>
      </c>
      <c r="M35" s="263" t="s">
        <v>200</v>
      </c>
      <c r="N35" s="263" t="s">
        <v>200</v>
      </c>
      <c r="O35" s="263" t="s">
        <v>200</v>
      </c>
      <c r="P35" s="263" t="s">
        <v>200</v>
      </c>
      <c r="Q35" s="263" t="s">
        <v>200</v>
      </c>
      <c r="R35" s="263" t="s">
        <v>200</v>
      </c>
      <c r="S35" s="263" t="s">
        <v>200</v>
      </c>
      <c r="T35" s="263" t="s">
        <v>200</v>
      </c>
      <c r="U35" s="263" t="s">
        <v>200</v>
      </c>
      <c r="V35" s="263" t="s">
        <v>200</v>
      </c>
      <c r="W35" s="263" t="s">
        <v>200</v>
      </c>
      <c r="X35" s="263" t="s">
        <v>200</v>
      </c>
      <c r="Y35" s="263" t="s">
        <v>200</v>
      </c>
      <c r="Z35" s="263" t="s">
        <v>200</v>
      </c>
      <c r="AA35" s="263" t="s">
        <v>200</v>
      </c>
      <c r="AB35" s="263" t="s">
        <v>200</v>
      </c>
      <c r="AC35" s="263" t="s">
        <v>200</v>
      </c>
      <c r="AD35" s="263" t="s">
        <v>200</v>
      </c>
      <c r="AE35" s="272" t="s">
        <v>675</v>
      </c>
      <c r="AF35" s="272" t="s">
        <v>782</v>
      </c>
      <c r="AG35" s="272" t="s">
        <v>964</v>
      </c>
      <c r="AH35" s="263"/>
      <c r="AI35" s="75"/>
      <c r="AJ35" s="75"/>
      <c r="AK35" s="75"/>
      <c r="AL35" s="75"/>
    </row>
    <row r="36" spans="1:38" s="238" customFormat="1" ht="15">
      <c r="A36" s="263">
        <v>1120</v>
      </c>
      <c r="B36" s="263" t="s">
        <v>560</v>
      </c>
      <c r="C36" s="263" t="s">
        <v>200</v>
      </c>
      <c r="D36" s="263" t="s">
        <v>200</v>
      </c>
      <c r="E36" s="263" t="s">
        <v>200</v>
      </c>
      <c r="F36" s="263" t="s">
        <v>200</v>
      </c>
      <c r="G36" s="263" t="s">
        <v>834</v>
      </c>
      <c r="H36" s="263" t="s">
        <v>200</v>
      </c>
      <c r="I36" s="263" t="s">
        <v>801</v>
      </c>
      <c r="J36" s="263">
        <v>1</v>
      </c>
      <c r="K36" s="263" t="s">
        <v>976</v>
      </c>
      <c r="L36" s="263" t="s">
        <v>200</v>
      </c>
      <c r="M36" s="263" t="s">
        <v>200</v>
      </c>
      <c r="N36" s="263" t="s">
        <v>200</v>
      </c>
      <c r="O36" s="263" t="s">
        <v>200</v>
      </c>
      <c r="P36" s="263" t="s">
        <v>200</v>
      </c>
      <c r="Q36" s="263" t="s">
        <v>200</v>
      </c>
      <c r="R36" s="263" t="s">
        <v>200</v>
      </c>
      <c r="S36" s="263" t="s">
        <v>200</v>
      </c>
      <c r="T36" s="263" t="s">
        <v>73</v>
      </c>
      <c r="U36" s="263" t="s">
        <v>119</v>
      </c>
      <c r="V36" s="263" t="s">
        <v>200</v>
      </c>
      <c r="W36" s="263" t="s">
        <v>200</v>
      </c>
      <c r="X36" s="263" t="s">
        <v>200</v>
      </c>
      <c r="Y36" s="263" t="s">
        <v>200</v>
      </c>
      <c r="Z36" s="292" t="s">
        <v>200</v>
      </c>
      <c r="AA36" s="283" t="s">
        <v>200</v>
      </c>
      <c r="AB36" s="272" t="s">
        <v>200</v>
      </c>
      <c r="AC36" s="263" t="s">
        <v>200</v>
      </c>
      <c r="AD36" s="263"/>
      <c r="AE36" s="272" t="s">
        <v>675</v>
      </c>
      <c r="AF36" s="272" t="s">
        <v>782</v>
      </c>
      <c r="AG36" s="272" t="s">
        <v>964</v>
      </c>
      <c r="AH36" s="263"/>
      <c r="AI36" s="75"/>
      <c r="AJ36" s="75"/>
      <c r="AK36" s="75"/>
      <c r="AL36" s="75"/>
    </row>
    <row r="37" spans="1:38" s="238" customFormat="1" ht="15">
      <c r="A37" s="271">
        <v>1105</v>
      </c>
      <c r="B37" s="272" t="s">
        <v>560</v>
      </c>
      <c r="C37" s="263" t="s">
        <v>200</v>
      </c>
      <c r="D37" s="263" t="s">
        <v>200</v>
      </c>
      <c r="E37" s="263" t="s">
        <v>200</v>
      </c>
      <c r="F37" s="263" t="s">
        <v>200</v>
      </c>
      <c r="G37" s="263" t="s">
        <v>834</v>
      </c>
      <c r="H37" s="263" t="s">
        <v>200</v>
      </c>
      <c r="I37" s="263" t="s">
        <v>801</v>
      </c>
      <c r="J37" s="263">
        <v>1</v>
      </c>
      <c r="K37" s="272" t="s">
        <v>727</v>
      </c>
      <c r="L37" s="263" t="s">
        <v>200</v>
      </c>
      <c r="M37" s="272" t="s">
        <v>983</v>
      </c>
      <c r="N37" s="272" t="s">
        <v>984</v>
      </c>
      <c r="O37" s="272"/>
      <c r="P37" s="272"/>
      <c r="Q37" s="272"/>
      <c r="R37" s="272"/>
      <c r="S37" s="272"/>
      <c r="T37" s="272" t="s">
        <v>73</v>
      </c>
      <c r="U37" s="272" t="s">
        <v>237</v>
      </c>
      <c r="V37" s="263" t="s">
        <v>200</v>
      </c>
      <c r="W37" s="274">
        <v>4300</v>
      </c>
      <c r="X37" s="274">
        <v>4300</v>
      </c>
      <c r="Y37" s="274">
        <v>86</v>
      </c>
      <c r="Z37" s="272"/>
      <c r="AA37" s="272"/>
      <c r="AB37" s="272"/>
      <c r="AC37" s="263"/>
      <c r="AD37" s="263"/>
      <c r="AE37" s="272" t="s">
        <v>675</v>
      </c>
      <c r="AF37" s="272" t="s">
        <v>782</v>
      </c>
      <c r="AG37" s="272" t="s">
        <v>985</v>
      </c>
      <c r="AH37" s="263"/>
      <c r="AI37" s="75"/>
      <c r="AJ37" s="75"/>
      <c r="AK37" s="75"/>
      <c r="AL37" s="75"/>
    </row>
    <row r="38" spans="1:38" s="238" customFormat="1" ht="15">
      <c r="A38" s="271">
        <v>1106</v>
      </c>
      <c r="B38" s="272" t="s">
        <v>560</v>
      </c>
      <c r="C38" s="263" t="s">
        <v>200</v>
      </c>
      <c r="D38" s="263" t="s">
        <v>200</v>
      </c>
      <c r="E38" s="263" t="s">
        <v>200</v>
      </c>
      <c r="F38" s="263" t="s">
        <v>200</v>
      </c>
      <c r="G38" s="263" t="s">
        <v>834</v>
      </c>
      <c r="H38" s="263" t="s">
        <v>200</v>
      </c>
      <c r="I38" s="263" t="s">
        <v>801</v>
      </c>
      <c r="J38" s="263">
        <v>1</v>
      </c>
      <c r="K38" s="272" t="s">
        <v>218</v>
      </c>
      <c r="L38" s="263" t="s">
        <v>200</v>
      </c>
      <c r="M38" s="272" t="s">
        <v>986</v>
      </c>
      <c r="N38" s="272" t="s">
        <v>987</v>
      </c>
      <c r="O38" s="272"/>
      <c r="P38" s="272"/>
      <c r="Q38" s="272"/>
      <c r="R38" s="272"/>
      <c r="S38" s="272"/>
      <c r="T38" s="272" t="s">
        <v>73</v>
      </c>
      <c r="U38" s="272" t="s">
        <v>812</v>
      </c>
      <c r="V38" s="263" t="s">
        <v>200</v>
      </c>
      <c r="W38" s="274">
        <v>2000</v>
      </c>
      <c r="X38" s="274">
        <v>2000</v>
      </c>
      <c r="Y38" s="274">
        <v>40</v>
      </c>
      <c r="Z38" s="272"/>
      <c r="AA38" s="272"/>
      <c r="AB38" s="272"/>
      <c r="AC38" s="263"/>
      <c r="AD38" s="263"/>
      <c r="AE38" s="272" t="s">
        <v>675</v>
      </c>
      <c r="AF38" s="272" t="s">
        <v>782</v>
      </c>
      <c r="AG38" s="272" t="s">
        <v>985</v>
      </c>
      <c r="AH38" s="263"/>
      <c r="AI38" s="75"/>
      <c r="AJ38" s="75"/>
      <c r="AK38" s="75"/>
      <c r="AL38" s="75"/>
    </row>
    <row r="39" spans="1:38" s="263" customFormat="1" ht="15">
      <c r="A39" s="271">
        <v>1109</v>
      </c>
      <c r="B39" s="272" t="s">
        <v>560</v>
      </c>
      <c r="C39" s="263" t="s">
        <v>200</v>
      </c>
      <c r="D39" s="263" t="s">
        <v>200</v>
      </c>
      <c r="E39" s="263" t="s">
        <v>200</v>
      </c>
      <c r="F39" s="263" t="s">
        <v>200</v>
      </c>
      <c r="G39" s="263" t="s">
        <v>834</v>
      </c>
      <c r="H39" s="263" t="s">
        <v>200</v>
      </c>
      <c r="I39" s="263" t="s">
        <v>801</v>
      </c>
      <c r="J39" s="263">
        <v>1</v>
      </c>
      <c r="K39" s="272" t="s">
        <v>218</v>
      </c>
      <c r="L39" s="263" t="s">
        <v>200</v>
      </c>
      <c r="M39" s="272" t="s">
        <v>988</v>
      </c>
      <c r="N39" s="272" t="s">
        <v>989</v>
      </c>
      <c r="O39" s="272"/>
      <c r="P39" s="272"/>
      <c r="Q39" s="272"/>
      <c r="R39" s="272"/>
      <c r="S39" s="272"/>
      <c r="T39" s="272" t="s">
        <v>73</v>
      </c>
      <c r="U39" s="272" t="s">
        <v>258</v>
      </c>
      <c r="V39" s="263" t="s">
        <v>200</v>
      </c>
      <c r="W39" s="274">
        <v>5000</v>
      </c>
      <c r="X39" s="274">
        <v>5000</v>
      </c>
      <c r="Y39" s="274">
        <v>100</v>
      </c>
      <c r="Z39" s="272"/>
      <c r="AA39" s="272"/>
      <c r="AB39" s="272"/>
      <c r="AE39" s="272" t="s">
        <v>675</v>
      </c>
      <c r="AF39" s="272" t="s">
        <v>782</v>
      </c>
      <c r="AG39" s="272" t="s">
        <v>985</v>
      </c>
      <c r="AI39" s="48"/>
      <c r="AJ39" s="48"/>
      <c r="AK39" s="48"/>
      <c r="AL39" s="48"/>
    </row>
    <row r="40" spans="1:38" s="263" customFormat="1" ht="15">
      <c r="A40" s="271">
        <v>1119</v>
      </c>
      <c r="B40" s="272" t="s">
        <v>560</v>
      </c>
      <c r="C40" s="263" t="s">
        <v>200</v>
      </c>
      <c r="D40" s="263" t="s">
        <v>200</v>
      </c>
      <c r="E40" s="263" t="s">
        <v>200</v>
      </c>
      <c r="F40" s="263" t="s">
        <v>200</v>
      </c>
      <c r="G40" s="263" t="s">
        <v>834</v>
      </c>
      <c r="H40" s="263" t="s">
        <v>200</v>
      </c>
      <c r="I40" s="263" t="s">
        <v>801</v>
      </c>
      <c r="J40" s="263">
        <v>1</v>
      </c>
      <c r="K40" s="272" t="s">
        <v>218</v>
      </c>
      <c r="L40" s="263" t="s">
        <v>200</v>
      </c>
      <c r="M40" s="272" t="s">
        <v>988</v>
      </c>
      <c r="N40" s="272" t="s">
        <v>990</v>
      </c>
      <c r="O40" s="272"/>
      <c r="P40" s="272"/>
      <c r="Q40" s="272"/>
      <c r="R40" s="272"/>
      <c r="S40" s="272"/>
      <c r="T40" s="272" t="s">
        <v>73</v>
      </c>
      <c r="U40" s="272" t="s">
        <v>991</v>
      </c>
      <c r="V40" s="263" t="s">
        <v>200</v>
      </c>
      <c r="W40" s="274">
        <v>8250</v>
      </c>
      <c r="X40" s="274">
        <v>8250</v>
      </c>
      <c r="Y40" s="274">
        <v>165</v>
      </c>
      <c r="Z40" s="272"/>
      <c r="AA40" s="272"/>
      <c r="AB40" s="272"/>
      <c r="AE40" s="272" t="s">
        <v>675</v>
      </c>
      <c r="AF40" s="272" t="s">
        <v>782</v>
      </c>
      <c r="AG40" s="272" t="s">
        <v>985</v>
      </c>
      <c r="AI40" s="48"/>
      <c r="AJ40" s="48"/>
      <c r="AK40" s="48"/>
      <c r="AL40" s="48"/>
    </row>
    <row r="41" spans="1:38" s="263" customFormat="1" ht="15">
      <c r="A41" s="271">
        <v>1121</v>
      </c>
      <c r="B41" s="272" t="s">
        <v>560</v>
      </c>
      <c r="C41" s="263" t="s">
        <v>200</v>
      </c>
      <c r="D41" s="263" t="s">
        <v>200</v>
      </c>
      <c r="E41" s="263" t="s">
        <v>200</v>
      </c>
      <c r="F41" s="263" t="s">
        <v>200</v>
      </c>
      <c r="G41" s="263" t="s">
        <v>834</v>
      </c>
      <c r="H41" s="263" t="s">
        <v>200</v>
      </c>
      <c r="I41" s="263" t="s">
        <v>801</v>
      </c>
      <c r="J41" s="263">
        <v>1</v>
      </c>
      <c r="K41" s="272" t="s">
        <v>218</v>
      </c>
      <c r="L41" s="263" t="s">
        <v>200</v>
      </c>
      <c r="M41" s="272" t="s">
        <v>992</v>
      </c>
      <c r="N41" s="272" t="s">
        <v>993</v>
      </c>
      <c r="O41" s="272"/>
      <c r="P41" s="272"/>
      <c r="Q41" s="272"/>
      <c r="R41" s="272"/>
      <c r="S41" s="272"/>
      <c r="T41" s="272" t="s">
        <v>73</v>
      </c>
      <c r="U41" s="272" t="s">
        <v>771</v>
      </c>
      <c r="V41" s="263" t="s">
        <v>200</v>
      </c>
      <c r="W41" s="274">
        <v>2500</v>
      </c>
      <c r="X41" s="274">
        <v>2500</v>
      </c>
      <c r="Y41" s="274">
        <v>50</v>
      </c>
      <c r="Z41" s="272"/>
      <c r="AA41" s="272"/>
      <c r="AB41" s="272"/>
      <c r="AE41" s="272" t="s">
        <v>675</v>
      </c>
      <c r="AF41" s="272" t="s">
        <v>782</v>
      </c>
      <c r="AG41" s="272" t="s">
        <v>985</v>
      </c>
      <c r="AI41" s="48"/>
      <c r="AJ41" s="48"/>
      <c r="AK41" s="48"/>
      <c r="AL41" s="48"/>
    </row>
    <row r="42" spans="1:38" s="263" customFormat="1" ht="15">
      <c r="A42" s="271">
        <v>1122</v>
      </c>
      <c r="B42" s="272" t="s">
        <v>560</v>
      </c>
      <c r="C42" s="263" t="s">
        <v>200</v>
      </c>
      <c r="D42" s="263" t="s">
        <v>200</v>
      </c>
      <c r="E42" s="263" t="s">
        <v>200</v>
      </c>
      <c r="F42" s="263" t="s">
        <v>200</v>
      </c>
      <c r="G42" s="263" t="s">
        <v>834</v>
      </c>
      <c r="H42" s="263" t="s">
        <v>200</v>
      </c>
      <c r="I42" s="263" t="s">
        <v>801</v>
      </c>
      <c r="J42" s="263">
        <v>1</v>
      </c>
      <c r="K42" s="272" t="s">
        <v>396</v>
      </c>
      <c r="L42" s="263" t="s">
        <v>200</v>
      </c>
      <c r="M42" s="272" t="s">
        <v>994</v>
      </c>
      <c r="N42" s="272" t="s">
        <v>995</v>
      </c>
      <c r="O42" s="272"/>
      <c r="P42" s="272"/>
      <c r="Q42" s="272"/>
      <c r="R42" s="272"/>
      <c r="S42" s="272"/>
      <c r="T42" s="272" t="s">
        <v>73</v>
      </c>
      <c r="U42" s="272" t="s">
        <v>771</v>
      </c>
      <c r="V42" s="263" t="s">
        <v>200</v>
      </c>
      <c r="W42" s="274">
        <v>3000</v>
      </c>
      <c r="X42" s="274">
        <v>3000</v>
      </c>
      <c r="Y42" s="274">
        <v>60</v>
      </c>
      <c r="Z42" s="272"/>
      <c r="AA42" s="272"/>
      <c r="AB42" s="272"/>
      <c r="AE42" s="272" t="s">
        <v>675</v>
      </c>
      <c r="AF42" s="272" t="s">
        <v>782</v>
      </c>
      <c r="AG42" s="272" t="s">
        <v>985</v>
      </c>
      <c r="AI42" s="48"/>
      <c r="AJ42" s="48"/>
      <c r="AK42" s="48"/>
      <c r="AL42" s="48"/>
    </row>
    <row r="43" spans="1:38" s="263" customFormat="1" ht="15">
      <c r="A43" s="271">
        <v>1124</v>
      </c>
      <c r="B43" s="272" t="s">
        <v>560</v>
      </c>
      <c r="C43" s="263" t="s">
        <v>200</v>
      </c>
      <c r="D43" s="263" t="s">
        <v>200</v>
      </c>
      <c r="E43" s="263" t="s">
        <v>200</v>
      </c>
      <c r="F43" s="263" t="s">
        <v>200</v>
      </c>
      <c r="G43" s="263" t="s">
        <v>834</v>
      </c>
      <c r="H43" s="263" t="s">
        <v>200</v>
      </c>
      <c r="I43" s="263" t="s">
        <v>801</v>
      </c>
      <c r="J43" s="263">
        <v>1</v>
      </c>
      <c r="K43" s="272" t="s">
        <v>44</v>
      </c>
      <c r="L43" s="263" t="s">
        <v>200</v>
      </c>
      <c r="M43" s="272" t="s">
        <v>996</v>
      </c>
      <c r="N43" s="272" t="s">
        <v>997</v>
      </c>
      <c r="O43" s="272"/>
      <c r="P43" s="272"/>
      <c r="Q43" s="272"/>
      <c r="R43" s="272"/>
      <c r="S43" s="272"/>
      <c r="T43" s="272" t="s">
        <v>73</v>
      </c>
      <c r="U43" s="272" t="s">
        <v>738</v>
      </c>
      <c r="V43" s="263" t="s">
        <v>200</v>
      </c>
      <c r="W43" s="274">
        <v>3500</v>
      </c>
      <c r="X43" s="274">
        <v>3500</v>
      </c>
      <c r="Y43" s="274">
        <v>70</v>
      </c>
      <c r="Z43" s="272"/>
      <c r="AA43" s="272"/>
      <c r="AB43" s="272"/>
      <c r="AE43" s="272" t="s">
        <v>675</v>
      </c>
      <c r="AF43" s="272" t="s">
        <v>782</v>
      </c>
      <c r="AG43" s="272" t="s">
        <v>985</v>
      </c>
      <c r="AI43" s="48"/>
      <c r="AJ43" s="48"/>
      <c r="AK43" s="48"/>
      <c r="AL43" s="48"/>
    </row>
    <row r="44" spans="1:38" s="263" customFormat="1" ht="15">
      <c r="A44" s="271">
        <v>1125</v>
      </c>
      <c r="B44" s="272" t="s">
        <v>560</v>
      </c>
      <c r="C44" s="263" t="s">
        <v>200</v>
      </c>
      <c r="D44" s="263" t="s">
        <v>200</v>
      </c>
      <c r="E44" s="263" t="s">
        <v>200</v>
      </c>
      <c r="F44" s="263" t="s">
        <v>200</v>
      </c>
      <c r="G44" s="263" t="s">
        <v>834</v>
      </c>
      <c r="H44" s="263" t="s">
        <v>200</v>
      </c>
      <c r="I44" s="263" t="s">
        <v>801</v>
      </c>
      <c r="J44" s="263">
        <v>1</v>
      </c>
      <c r="K44" s="272" t="s">
        <v>218</v>
      </c>
      <c r="L44" s="263" t="s">
        <v>200</v>
      </c>
      <c r="M44" s="272" t="s">
        <v>998</v>
      </c>
      <c r="N44" s="272" t="s">
        <v>999</v>
      </c>
      <c r="O44" s="272"/>
      <c r="P44" s="272"/>
      <c r="Q44" s="272"/>
      <c r="R44" s="272"/>
      <c r="S44" s="272"/>
      <c r="T44" s="272" t="s">
        <v>714</v>
      </c>
      <c r="U44" s="272" t="s">
        <v>738</v>
      </c>
      <c r="V44" s="263" t="s">
        <v>200</v>
      </c>
      <c r="W44" s="274">
        <v>2000</v>
      </c>
      <c r="X44" s="274">
        <v>2000</v>
      </c>
      <c r="Y44" s="274">
        <v>40</v>
      </c>
      <c r="Z44" s="272"/>
      <c r="AA44" s="272"/>
      <c r="AB44" s="272"/>
      <c r="AE44" s="272" t="s">
        <v>675</v>
      </c>
      <c r="AF44" s="272" t="s">
        <v>782</v>
      </c>
      <c r="AG44" s="272" t="s">
        <v>985</v>
      </c>
      <c r="AI44" s="48"/>
      <c r="AJ44" s="48"/>
      <c r="AK44" s="48"/>
      <c r="AL44" s="48"/>
    </row>
    <row r="45" spans="1:38" s="263" customFormat="1" ht="15">
      <c r="A45" s="271">
        <v>1126</v>
      </c>
      <c r="B45" s="272" t="s">
        <v>560</v>
      </c>
      <c r="C45" s="263" t="s">
        <v>200</v>
      </c>
      <c r="D45" s="263" t="s">
        <v>200</v>
      </c>
      <c r="E45" s="263" t="s">
        <v>200</v>
      </c>
      <c r="F45" s="263" t="s">
        <v>200</v>
      </c>
      <c r="G45" s="263" t="s">
        <v>834</v>
      </c>
      <c r="H45" s="263" t="s">
        <v>200</v>
      </c>
      <c r="I45" s="263" t="s">
        <v>801</v>
      </c>
      <c r="J45" s="263">
        <v>1</v>
      </c>
      <c r="K45" s="272" t="s">
        <v>396</v>
      </c>
      <c r="L45" s="263" t="s">
        <v>200</v>
      </c>
      <c r="M45" s="272" t="s">
        <v>1000</v>
      </c>
      <c r="N45" s="272" t="s">
        <v>1001</v>
      </c>
      <c r="O45" s="272"/>
      <c r="P45" s="272"/>
      <c r="Q45" s="272"/>
      <c r="R45" s="272"/>
      <c r="S45" s="272"/>
      <c r="T45" s="272" t="s">
        <v>73</v>
      </c>
      <c r="U45" s="272" t="s">
        <v>1002</v>
      </c>
      <c r="V45" s="263" t="s">
        <v>200</v>
      </c>
      <c r="W45" s="274">
        <v>2000</v>
      </c>
      <c r="X45" s="274">
        <v>2000</v>
      </c>
      <c r="Y45" s="274">
        <v>40</v>
      </c>
      <c r="Z45" s="272"/>
      <c r="AA45" s="272"/>
      <c r="AB45" s="272"/>
      <c r="AE45" s="272" t="s">
        <v>675</v>
      </c>
      <c r="AF45" s="272" t="s">
        <v>782</v>
      </c>
      <c r="AG45" s="272" t="s">
        <v>985</v>
      </c>
      <c r="AI45" s="48"/>
      <c r="AJ45" s="48"/>
      <c r="AK45" s="48"/>
      <c r="AL45" s="48"/>
    </row>
    <row r="46" spans="1:38" s="263" customFormat="1" ht="15">
      <c r="A46" s="271">
        <v>1127</v>
      </c>
      <c r="B46" s="272" t="s">
        <v>560</v>
      </c>
      <c r="C46" s="263" t="s">
        <v>200</v>
      </c>
      <c r="D46" s="263" t="s">
        <v>200</v>
      </c>
      <c r="E46" s="263" t="s">
        <v>200</v>
      </c>
      <c r="F46" s="263" t="s">
        <v>200</v>
      </c>
      <c r="G46" s="263" t="s">
        <v>834</v>
      </c>
      <c r="H46" s="263" t="s">
        <v>200</v>
      </c>
      <c r="I46" s="263" t="s">
        <v>801</v>
      </c>
      <c r="J46" s="263">
        <v>1</v>
      </c>
      <c r="K46" s="272" t="s">
        <v>396</v>
      </c>
      <c r="L46" s="263" t="s">
        <v>200</v>
      </c>
      <c r="M46" s="272" t="s">
        <v>1003</v>
      </c>
      <c r="N46" s="272" t="s">
        <v>1004</v>
      </c>
      <c r="O46" s="272"/>
      <c r="P46" s="272"/>
      <c r="Q46" s="272"/>
      <c r="R46" s="272"/>
      <c r="S46" s="272"/>
      <c r="T46" s="272" t="s">
        <v>73</v>
      </c>
      <c r="U46" s="272" t="s">
        <v>1002</v>
      </c>
      <c r="V46" s="263" t="s">
        <v>200</v>
      </c>
      <c r="W46" s="274">
        <v>2000</v>
      </c>
      <c r="X46" s="274">
        <v>2000</v>
      </c>
      <c r="Y46" s="274">
        <v>40</v>
      </c>
      <c r="Z46" s="272"/>
      <c r="AA46" s="272"/>
      <c r="AB46" s="272"/>
      <c r="AE46" s="272" t="s">
        <v>675</v>
      </c>
      <c r="AF46" s="272" t="s">
        <v>782</v>
      </c>
      <c r="AG46" s="272" t="s">
        <v>985</v>
      </c>
      <c r="AI46" s="48"/>
      <c r="AJ46" s="48"/>
      <c r="AK46" s="48"/>
      <c r="AL46" s="48"/>
    </row>
    <row r="47" spans="1:38" s="263" customFormat="1" ht="15">
      <c r="A47" s="271">
        <v>1128</v>
      </c>
      <c r="B47" s="272" t="s">
        <v>560</v>
      </c>
      <c r="C47" s="263" t="s">
        <v>200</v>
      </c>
      <c r="D47" s="263" t="s">
        <v>200</v>
      </c>
      <c r="E47" s="263" t="s">
        <v>200</v>
      </c>
      <c r="F47" s="263" t="s">
        <v>200</v>
      </c>
      <c r="G47" s="263" t="s">
        <v>834</v>
      </c>
      <c r="H47" s="263" t="s">
        <v>200</v>
      </c>
      <c r="I47" s="263" t="s">
        <v>801</v>
      </c>
      <c r="J47" s="263">
        <v>1</v>
      </c>
      <c r="K47" s="272" t="s">
        <v>396</v>
      </c>
      <c r="L47" s="263" t="s">
        <v>200</v>
      </c>
      <c r="M47" s="272" t="s">
        <v>1005</v>
      </c>
      <c r="N47" s="272" t="s">
        <v>1006</v>
      </c>
      <c r="O47" s="272"/>
      <c r="P47" s="272"/>
      <c r="Q47" s="272"/>
      <c r="R47" s="272"/>
      <c r="S47" s="272"/>
      <c r="T47" s="272" t="s">
        <v>73</v>
      </c>
      <c r="U47" s="272" t="s">
        <v>1002</v>
      </c>
      <c r="V47" s="263" t="s">
        <v>200</v>
      </c>
      <c r="W47" s="274">
        <v>3500</v>
      </c>
      <c r="X47" s="274">
        <v>3500</v>
      </c>
      <c r="Y47" s="274">
        <v>70</v>
      </c>
      <c r="Z47" s="272"/>
      <c r="AA47" s="272"/>
      <c r="AB47" s="272"/>
      <c r="AE47" s="272" t="s">
        <v>675</v>
      </c>
      <c r="AF47" s="272" t="s">
        <v>782</v>
      </c>
      <c r="AG47" s="272" t="s">
        <v>985</v>
      </c>
      <c r="AI47" s="48"/>
      <c r="AJ47" s="48"/>
      <c r="AK47" s="48"/>
      <c r="AL47" s="48"/>
    </row>
    <row r="48" spans="1:38" s="263" customFormat="1" ht="15">
      <c r="A48" s="271">
        <v>1129</v>
      </c>
      <c r="B48" s="272" t="s">
        <v>560</v>
      </c>
      <c r="C48" s="263" t="s">
        <v>200</v>
      </c>
      <c r="D48" s="263" t="s">
        <v>200</v>
      </c>
      <c r="E48" s="263" t="s">
        <v>200</v>
      </c>
      <c r="F48" s="263" t="s">
        <v>200</v>
      </c>
      <c r="G48" s="263" t="s">
        <v>834</v>
      </c>
      <c r="H48" s="263" t="s">
        <v>200</v>
      </c>
      <c r="I48" s="263" t="s">
        <v>801</v>
      </c>
      <c r="J48" s="263">
        <v>1</v>
      </c>
      <c r="K48" s="272" t="s">
        <v>396</v>
      </c>
      <c r="L48" s="263" t="s">
        <v>200</v>
      </c>
      <c r="M48" s="272" t="s">
        <v>1000</v>
      </c>
      <c r="N48" s="272" t="s">
        <v>1007</v>
      </c>
      <c r="O48" s="272"/>
      <c r="P48" s="272"/>
      <c r="Q48" s="272"/>
      <c r="R48" s="272"/>
      <c r="S48" s="272"/>
      <c r="T48" s="272" t="s">
        <v>73</v>
      </c>
      <c r="U48" s="272" t="s">
        <v>1002</v>
      </c>
      <c r="V48" s="263" t="s">
        <v>200</v>
      </c>
      <c r="W48" s="274">
        <v>2000</v>
      </c>
      <c r="X48" s="274">
        <v>2000</v>
      </c>
      <c r="Y48" s="274">
        <v>40</v>
      </c>
      <c r="Z48" s="272"/>
      <c r="AA48" s="272"/>
      <c r="AB48" s="272"/>
      <c r="AE48" s="272" t="s">
        <v>675</v>
      </c>
      <c r="AF48" s="272" t="s">
        <v>782</v>
      </c>
      <c r="AG48" s="272" t="s">
        <v>985</v>
      </c>
      <c r="AI48" s="48"/>
      <c r="AJ48" s="48"/>
      <c r="AK48" s="48"/>
      <c r="AL48" s="48"/>
    </row>
    <row r="49" spans="1:38" s="263" customFormat="1" ht="15">
      <c r="A49" s="271">
        <v>1130</v>
      </c>
      <c r="B49" s="272" t="s">
        <v>560</v>
      </c>
      <c r="C49" s="263" t="s">
        <v>200</v>
      </c>
      <c r="D49" s="263" t="s">
        <v>200</v>
      </c>
      <c r="E49" s="263" t="s">
        <v>200</v>
      </c>
      <c r="F49" s="263" t="s">
        <v>200</v>
      </c>
      <c r="G49" s="263" t="s">
        <v>834</v>
      </c>
      <c r="H49" s="263" t="s">
        <v>200</v>
      </c>
      <c r="I49" s="263" t="s">
        <v>801</v>
      </c>
      <c r="J49" s="263">
        <v>1</v>
      </c>
      <c r="K49" s="272" t="s">
        <v>396</v>
      </c>
      <c r="L49" s="263" t="s">
        <v>200</v>
      </c>
      <c r="M49" s="272" t="s">
        <v>1000</v>
      </c>
      <c r="N49" s="272" t="s">
        <v>1008</v>
      </c>
      <c r="O49" s="272"/>
      <c r="P49" s="272"/>
      <c r="Q49" s="272"/>
      <c r="R49" s="272"/>
      <c r="S49" s="272"/>
      <c r="T49" s="272" t="s">
        <v>73</v>
      </c>
      <c r="U49" s="272" t="s">
        <v>1002</v>
      </c>
      <c r="V49" s="263" t="s">
        <v>200</v>
      </c>
      <c r="W49" s="274">
        <v>2000</v>
      </c>
      <c r="X49" s="274">
        <v>2000</v>
      </c>
      <c r="Y49" s="274">
        <v>40</v>
      </c>
      <c r="Z49" s="272"/>
      <c r="AA49" s="272"/>
      <c r="AB49" s="272"/>
      <c r="AE49" s="272" t="s">
        <v>675</v>
      </c>
      <c r="AF49" s="272" t="s">
        <v>782</v>
      </c>
      <c r="AG49" s="272" t="s">
        <v>985</v>
      </c>
      <c r="AI49" s="48"/>
      <c r="AJ49" s="48"/>
      <c r="AK49" s="48"/>
      <c r="AL49" s="48"/>
    </row>
    <row r="50" spans="1:38" s="263" customFormat="1" ht="15">
      <c r="A50" s="271">
        <v>1131</v>
      </c>
      <c r="B50" s="272" t="s">
        <v>560</v>
      </c>
      <c r="C50" s="263" t="s">
        <v>200</v>
      </c>
      <c r="D50" s="263" t="s">
        <v>200</v>
      </c>
      <c r="E50" s="263" t="s">
        <v>200</v>
      </c>
      <c r="F50" s="263" t="s">
        <v>200</v>
      </c>
      <c r="G50" s="263" t="s">
        <v>834</v>
      </c>
      <c r="H50" s="263" t="s">
        <v>200</v>
      </c>
      <c r="I50" s="263" t="s">
        <v>801</v>
      </c>
      <c r="J50" s="263">
        <v>1</v>
      </c>
      <c r="K50" s="272" t="s">
        <v>44</v>
      </c>
      <c r="L50" s="263" t="s">
        <v>200</v>
      </c>
      <c r="M50" s="272" t="s">
        <v>1009</v>
      </c>
      <c r="N50" s="272" t="s">
        <v>1010</v>
      </c>
      <c r="O50" s="272"/>
      <c r="P50" s="272"/>
      <c r="Q50" s="272"/>
      <c r="R50" s="272"/>
      <c r="S50" s="272"/>
      <c r="T50" s="272" t="s">
        <v>73</v>
      </c>
      <c r="U50" s="272" t="s">
        <v>1002</v>
      </c>
      <c r="V50" s="263" t="s">
        <v>200</v>
      </c>
      <c r="W50" s="274">
        <v>900</v>
      </c>
      <c r="X50" s="274">
        <v>900</v>
      </c>
      <c r="Y50" s="274">
        <v>18</v>
      </c>
      <c r="Z50" s="272"/>
      <c r="AA50" s="272"/>
      <c r="AB50" s="272"/>
      <c r="AE50" s="272" t="s">
        <v>675</v>
      </c>
      <c r="AF50" s="272" t="s">
        <v>782</v>
      </c>
      <c r="AG50" s="272" t="s">
        <v>985</v>
      </c>
      <c r="AI50" s="48"/>
      <c r="AJ50" s="48"/>
      <c r="AK50" s="48"/>
      <c r="AL50" s="48"/>
    </row>
    <row r="51" spans="1:38" s="263" customFormat="1" ht="15">
      <c r="A51" s="271">
        <v>1132</v>
      </c>
      <c r="B51" s="272" t="s">
        <v>560</v>
      </c>
      <c r="C51" s="263" t="s">
        <v>200</v>
      </c>
      <c r="D51" s="263" t="s">
        <v>200</v>
      </c>
      <c r="E51" s="263" t="s">
        <v>200</v>
      </c>
      <c r="F51" s="263" t="s">
        <v>200</v>
      </c>
      <c r="G51" s="263" t="s">
        <v>834</v>
      </c>
      <c r="H51" s="263" t="s">
        <v>200</v>
      </c>
      <c r="I51" s="263" t="s">
        <v>801</v>
      </c>
      <c r="J51" s="263">
        <v>1</v>
      </c>
      <c r="K51" s="272" t="s">
        <v>396</v>
      </c>
      <c r="L51" s="263" t="s">
        <v>200</v>
      </c>
      <c r="M51" s="272" t="s">
        <v>1011</v>
      </c>
      <c r="N51" s="272" t="s">
        <v>1012</v>
      </c>
      <c r="O51" s="272"/>
      <c r="P51" s="272"/>
      <c r="Q51" s="272"/>
      <c r="R51" s="272"/>
      <c r="S51" s="272"/>
      <c r="T51" s="272" t="s">
        <v>73</v>
      </c>
      <c r="U51" s="272" t="s">
        <v>1002</v>
      </c>
      <c r="V51" s="263" t="s">
        <v>200</v>
      </c>
      <c r="W51" s="274">
        <v>900</v>
      </c>
      <c r="X51" s="274">
        <v>900</v>
      </c>
      <c r="Y51" s="274">
        <v>18</v>
      </c>
      <c r="Z51" s="272"/>
      <c r="AA51" s="272"/>
      <c r="AB51" s="272"/>
      <c r="AE51" s="272" t="s">
        <v>675</v>
      </c>
      <c r="AF51" s="272" t="s">
        <v>782</v>
      </c>
      <c r="AG51" s="272" t="s">
        <v>985</v>
      </c>
      <c r="AI51" s="48"/>
      <c r="AJ51" s="48"/>
      <c r="AK51" s="48"/>
      <c r="AL51" s="48"/>
    </row>
    <row r="52" spans="1:38" s="263" customFormat="1" ht="15">
      <c r="A52" s="271">
        <v>1133</v>
      </c>
      <c r="B52" s="272" t="s">
        <v>560</v>
      </c>
      <c r="C52" s="263" t="s">
        <v>200</v>
      </c>
      <c r="D52" s="263" t="s">
        <v>200</v>
      </c>
      <c r="E52" s="263" t="s">
        <v>200</v>
      </c>
      <c r="F52" s="263" t="s">
        <v>200</v>
      </c>
      <c r="G52" s="263" t="s">
        <v>834</v>
      </c>
      <c r="H52" s="263" t="s">
        <v>200</v>
      </c>
      <c r="I52" s="263" t="s">
        <v>801</v>
      </c>
      <c r="J52" s="263">
        <v>1</v>
      </c>
      <c r="K52" s="272" t="s">
        <v>218</v>
      </c>
      <c r="L52" s="263" t="s">
        <v>200</v>
      </c>
      <c r="M52" s="272" t="s">
        <v>1013</v>
      </c>
      <c r="N52" s="272" t="s">
        <v>1014</v>
      </c>
      <c r="O52" s="272"/>
      <c r="P52" s="272"/>
      <c r="Q52" s="272"/>
      <c r="R52" s="272"/>
      <c r="S52" s="272"/>
      <c r="T52" s="272" t="s">
        <v>73</v>
      </c>
      <c r="U52" s="272" t="s">
        <v>771</v>
      </c>
      <c r="V52" s="263" t="s">
        <v>200</v>
      </c>
      <c r="W52" s="274">
        <v>2500</v>
      </c>
      <c r="X52" s="274">
        <v>2500</v>
      </c>
      <c r="Y52" s="274">
        <v>50</v>
      </c>
      <c r="Z52" s="272"/>
      <c r="AA52" s="272"/>
      <c r="AB52" s="272"/>
      <c r="AE52" s="272">
        <v>190602</v>
      </c>
      <c r="AF52" s="272" t="s">
        <v>782</v>
      </c>
      <c r="AG52" s="272" t="s">
        <v>985</v>
      </c>
      <c r="AI52" s="48"/>
      <c r="AJ52" s="48"/>
      <c r="AK52" s="48"/>
      <c r="AL52" s="48"/>
    </row>
    <row r="53" spans="1:38" s="263" customFormat="1" ht="15">
      <c r="A53" s="271">
        <v>9021</v>
      </c>
      <c r="B53" s="272" t="s">
        <v>1015</v>
      </c>
      <c r="C53" s="263" t="s">
        <v>200</v>
      </c>
      <c r="D53" s="263" t="s">
        <v>200</v>
      </c>
      <c r="E53" s="263" t="s">
        <v>200</v>
      </c>
      <c r="F53" s="263" t="s">
        <v>200</v>
      </c>
      <c r="G53" s="263" t="s">
        <v>834</v>
      </c>
      <c r="H53" s="263" t="s">
        <v>200</v>
      </c>
      <c r="I53" s="263" t="s">
        <v>801</v>
      </c>
      <c r="J53" s="263">
        <v>1</v>
      </c>
      <c r="K53" s="263" t="s">
        <v>200</v>
      </c>
      <c r="L53" s="263" t="s">
        <v>200</v>
      </c>
      <c r="M53" s="263" t="s">
        <v>200</v>
      </c>
      <c r="N53" s="263" t="s">
        <v>200</v>
      </c>
      <c r="O53" s="263" t="s">
        <v>200</v>
      </c>
      <c r="P53" s="263" t="s">
        <v>200</v>
      </c>
      <c r="Q53" s="263" t="s">
        <v>200</v>
      </c>
      <c r="R53" s="263" t="s">
        <v>200</v>
      </c>
      <c r="S53" s="263" t="s">
        <v>200</v>
      </c>
      <c r="T53" s="263" t="s">
        <v>200</v>
      </c>
      <c r="U53" s="263" t="s">
        <v>200</v>
      </c>
      <c r="V53" s="263" t="s">
        <v>200</v>
      </c>
      <c r="W53" s="263" t="s">
        <v>200</v>
      </c>
      <c r="X53" s="263" t="s">
        <v>200</v>
      </c>
      <c r="Y53" s="263" t="s">
        <v>200</v>
      </c>
      <c r="Z53" s="263" t="s">
        <v>200</v>
      </c>
      <c r="AA53" s="263" t="s">
        <v>200</v>
      </c>
      <c r="AB53" s="263" t="s">
        <v>200</v>
      </c>
      <c r="AC53" s="263" t="s">
        <v>200</v>
      </c>
      <c r="AD53" s="263" t="s">
        <v>200</v>
      </c>
      <c r="AE53" s="272" t="s">
        <v>675</v>
      </c>
      <c r="AF53" s="272" t="s">
        <v>782</v>
      </c>
      <c r="AG53" s="272" t="s">
        <v>864</v>
      </c>
      <c r="AI53" s="48"/>
      <c r="AJ53" s="48"/>
      <c r="AK53" s="48"/>
      <c r="AL53" s="48"/>
    </row>
    <row r="54" spans="1:38" s="263" customFormat="1" ht="15">
      <c r="A54" s="271">
        <v>9023</v>
      </c>
      <c r="B54" s="272" t="s">
        <v>1016</v>
      </c>
      <c r="C54" s="263" t="s">
        <v>200</v>
      </c>
      <c r="D54" s="263" t="s">
        <v>200</v>
      </c>
      <c r="E54" s="263" t="s">
        <v>200</v>
      </c>
      <c r="F54" s="263" t="s">
        <v>200</v>
      </c>
      <c r="G54" s="263" t="s">
        <v>834</v>
      </c>
      <c r="H54" s="263" t="s">
        <v>200</v>
      </c>
      <c r="I54" s="263" t="s">
        <v>801</v>
      </c>
      <c r="J54" s="263">
        <v>2</v>
      </c>
      <c r="K54" s="263" t="s">
        <v>200</v>
      </c>
      <c r="L54" s="263" t="s">
        <v>200</v>
      </c>
      <c r="M54" s="263" t="s">
        <v>200</v>
      </c>
      <c r="N54" s="263" t="s">
        <v>200</v>
      </c>
      <c r="O54" s="263" t="s">
        <v>200</v>
      </c>
      <c r="P54" s="263" t="s">
        <v>200</v>
      </c>
      <c r="Q54" s="263" t="s">
        <v>200</v>
      </c>
      <c r="R54" s="263" t="s">
        <v>200</v>
      </c>
      <c r="S54" s="263" t="s">
        <v>200</v>
      </c>
      <c r="T54" s="263" t="s">
        <v>200</v>
      </c>
      <c r="U54" s="263" t="s">
        <v>200</v>
      </c>
      <c r="V54" s="263" t="s">
        <v>200</v>
      </c>
      <c r="W54" s="263" t="s">
        <v>200</v>
      </c>
      <c r="X54" s="263" t="s">
        <v>200</v>
      </c>
      <c r="Y54" s="263" t="s">
        <v>200</v>
      </c>
      <c r="Z54" s="263" t="s">
        <v>200</v>
      </c>
      <c r="AA54" s="263" t="s">
        <v>200</v>
      </c>
      <c r="AB54" s="263" t="s">
        <v>200</v>
      </c>
      <c r="AC54" s="263" t="s">
        <v>200</v>
      </c>
      <c r="AD54" s="263" t="s">
        <v>200</v>
      </c>
      <c r="AE54" s="272" t="s">
        <v>675</v>
      </c>
      <c r="AF54" s="272" t="s">
        <v>782</v>
      </c>
      <c r="AG54" s="272" t="s">
        <v>864</v>
      </c>
      <c r="AI54" s="48"/>
      <c r="AJ54" s="48"/>
      <c r="AK54" s="48"/>
      <c r="AL54" s="48"/>
    </row>
    <row r="55" spans="1:38" s="263" customFormat="1" ht="15">
      <c r="A55" s="271">
        <v>9024</v>
      </c>
      <c r="B55" s="272" t="s">
        <v>1017</v>
      </c>
      <c r="C55" s="263" t="s">
        <v>200</v>
      </c>
      <c r="D55" s="263" t="s">
        <v>200</v>
      </c>
      <c r="E55" s="263" t="s">
        <v>200</v>
      </c>
      <c r="F55" s="263" t="s">
        <v>200</v>
      </c>
      <c r="G55" s="263" t="s">
        <v>834</v>
      </c>
      <c r="H55" s="263" t="s">
        <v>200</v>
      </c>
      <c r="I55" s="263" t="s">
        <v>801</v>
      </c>
      <c r="J55" s="263">
        <v>1</v>
      </c>
      <c r="K55" s="263" t="s">
        <v>200</v>
      </c>
      <c r="L55" s="263" t="s">
        <v>200</v>
      </c>
      <c r="M55" s="263" t="s">
        <v>200</v>
      </c>
      <c r="N55" s="263" t="s">
        <v>200</v>
      </c>
      <c r="O55" s="263" t="s">
        <v>200</v>
      </c>
      <c r="P55" s="263" t="s">
        <v>200</v>
      </c>
      <c r="Q55" s="263" t="s">
        <v>200</v>
      </c>
      <c r="R55" s="263" t="s">
        <v>200</v>
      </c>
      <c r="S55" s="263" t="s">
        <v>200</v>
      </c>
      <c r="T55" s="263" t="s">
        <v>200</v>
      </c>
      <c r="U55" s="263" t="s">
        <v>200</v>
      </c>
      <c r="V55" s="263" t="s">
        <v>200</v>
      </c>
      <c r="W55" s="263" t="s">
        <v>200</v>
      </c>
      <c r="X55" s="263" t="s">
        <v>200</v>
      </c>
      <c r="Y55" s="263" t="s">
        <v>200</v>
      </c>
      <c r="Z55" s="263" t="s">
        <v>200</v>
      </c>
      <c r="AA55" s="263" t="s">
        <v>200</v>
      </c>
      <c r="AB55" s="263" t="s">
        <v>200</v>
      </c>
      <c r="AC55" s="263" t="s">
        <v>200</v>
      </c>
      <c r="AD55" s="263" t="s">
        <v>200</v>
      </c>
      <c r="AE55" s="272" t="s">
        <v>675</v>
      </c>
      <c r="AF55" s="272" t="s">
        <v>782</v>
      </c>
      <c r="AG55" s="272" t="s">
        <v>864</v>
      </c>
      <c r="AI55" s="48"/>
      <c r="AJ55" s="48"/>
      <c r="AK55" s="48"/>
      <c r="AL55" s="48"/>
    </row>
    <row r="56" spans="1:38" s="263" customFormat="1" ht="15">
      <c r="A56" s="271">
        <v>1700</v>
      </c>
      <c r="B56" s="272" t="s">
        <v>1018</v>
      </c>
      <c r="C56" s="263" t="s">
        <v>200</v>
      </c>
      <c r="D56" s="263" t="s">
        <v>200</v>
      </c>
      <c r="E56" s="263" t="s">
        <v>200</v>
      </c>
      <c r="F56" s="263" t="s">
        <v>200</v>
      </c>
      <c r="G56" s="263" t="s">
        <v>834</v>
      </c>
      <c r="H56" s="263" t="s">
        <v>200</v>
      </c>
      <c r="I56" s="272" t="s">
        <v>801</v>
      </c>
      <c r="J56" s="272">
        <v>1</v>
      </c>
      <c r="K56" s="272" t="s">
        <v>229</v>
      </c>
      <c r="L56" s="263" t="s">
        <v>200</v>
      </c>
      <c r="M56" s="272" t="s">
        <v>1019</v>
      </c>
      <c r="N56" s="272" t="s">
        <v>1020</v>
      </c>
      <c r="O56" s="272" t="s">
        <v>200</v>
      </c>
      <c r="P56" s="272" t="s">
        <v>200</v>
      </c>
      <c r="Q56" s="272" t="s">
        <v>200</v>
      </c>
      <c r="R56" s="272" t="s">
        <v>200</v>
      </c>
      <c r="S56" s="272" t="s">
        <v>200</v>
      </c>
      <c r="T56" s="272" t="s">
        <v>200</v>
      </c>
      <c r="U56" s="272" t="s">
        <v>200</v>
      </c>
      <c r="V56" s="272" t="s">
        <v>200</v>
      </c>
      <c r="W56" s="272" t="s">
        <v>200</v>
      </c>
      <c r="X56" s="272" t="s">
        <v>200</v>
      </c>
      <c r="Y56" s="272" t="s">
        <v>200</v>
      </c>
      <c r="Z56" s="272" t="s">
        <v>200</v>
      </c>
      <c r="AA56" s="272" t="s">
        <v>200</v>
      </c>
      <c r="AB56" s="272" t="s">
        <v>200</v>
      </c>
      <c r="AC56" s="263" t="s">
        <v>200</v>
      </c>
      <c r="AD56" s="263" t="s">
        <v>200</v>
      </c>
      <c r="AE56" s="272" t="s">
        <v>675</v>
      </c>
      <c r="AF56" s="272" t="s">
        <v>782</v>
      </c>
      <c r="AG56" s="272" t="s">
        <v>864</v>
      </c>
      <c r="AI56" s="48"/>
      <c r="AJ56" s="48"/>
      <c r="AK56" s="48"/>
      <c r="AL56" s="48"/>
    </row>
    <row r="57" spans="1:38" s="263" customFormat="1" ht="15">
      <c r="A57" s="271">
        <v>1701</v>
      </c>
      <c r="B57" s="272" t="s">
        <v>1018</v>
      </c>
      <c r="C57" s="263" t="s">
        <v>200</v>
      </c>
      <c r="D57" s="263" t="s">
        <v>200</v>
      </c>
      <c r="E57" s="263" t="s">
        <v>200</v>
      </c>
      <c r="F57" s="263" t="s">
        <v>200</v>
      </c>
      <c r="G57" s="263" t="s">
        <v>834</v>
      </c>
      <c r="H57" s="263" t="s">
        <v>200</v>
      </c>
      <c r="I57" s="272" t="s">
        <v>801</v>
      </c>
      <c r="J57" s="272">
        <v>1</v>
      </c>
      <c r="K57" s="272" t="s">
        <v>229</v>
      </c>
      <c r="L57" s="263" t="s">
        <v>200</v>
      </c>
      <c r="M57" s="272" t="s">
        <v>1019</v>
      </c>
      <c r="N57" s="272" t="s">
        <v>1021</v>
      </c>
      <c r="O57" s="272" t="s">
        <v>200</v>
      </c>
      <c r="P57" s="272" t="s">
        <v>200</v>
      </c>
      <c r="Q57" s="272" t="s">
        <v>200</v>
      </c>
      <c r="R57" s="272" t="s">
        <v>200</v>
      </c>
      <c r="S57" s="272" t="s">
        <v>200</v>
      </c>
      <c r="T57" s="272" t="s">
        <v>200</v>
      </c>
      <c r="U57" s="272" t="s">
        <v>200</v>
      </c>
      <c r="V57" s="272" t="s">
        <v>200</v>
      </c>
      <c r="W57" s="272" t="s">
        <v>200</v>
      </c>
      <c r="X57" s="272" t="s">
        <v>200</v>
      </c>
      <c r="Y57" s="272" t="s">
        <v>200</v>
      </c>
      <c r="Z57" s="272" t="s">
        <v>200</v>
      </c>
      <c r="AA57" s="272" t="s">
        <v>200</v>
      </c>
      <c r="AB57" s="272" t="s">
        <v>200</v>
      </c>
      <c r="AC57" s="263" t="s">
        <v>200</v>
      </c>
      <c r="AD57" s="263" t="s">
        <v>200</v>
      </c>
      <c r="AE57" s="272" t="s">
        <v>675</v>
      </c>
      <c r="AF57" s="272" t="s">
        <v>782</v>
      </c>
      <c r="AG57" s="272" t="s">
        <v>864</v>
      </c>
      <c r="AI57" s="48"/>
      <c r="AJ57" s="48"/>
      <c r="AK57" s="48"/>
      <c r="AL57" s="48"/>
    </row>
    <row r="58" spans="1:38" s="263" customFormat="1">
      <c r="A58" s="263">
        <v>806</v>
      </c>
      <c r="B58" s="263" t="s">
        <v>567</v>
      </c>
      <c r="C58" s="263" t="s">
        <v>200</v>
      </c>
      <c r="D58" s="263" t="s">
        <v>200</v>
      </c>
      <c r="E58" s="260" t="s">
        <v>200</v>
      </c>
      <c r="F58" s="260" t="s">
        <v>200</v>
      </c>
      <c r="G58" s="252" t="s">
        <v>834</v>
      </c>
      <c r="H58" s="263" t="s">
        <v>200</v>
      </c>
      <c r="I58" s="263" t="s">
        <v>801</v>
      </c>
      <c r="J58" s="263">
        <v>1</v>
      </c>
      <c r="K58" s="263" t="s">
        <v>920</v>
      </c>
      <c r="L58" s="263" t="s">
        <v>200</v>
      </c>
      <c r="M58" s="263" t="s">
        <v>919</v>
      </c>
      <c r="V58" s="263" t="s">
        <v>200</v>
      </c>
      <c r="W58" s="277">
        <v>200</v>
      </c>
      <c r="X58" s="265">
        <v>200</v>
      </c>
      <c r="Y58" s="265">
        <v>4</v>
      </c>
      <c r="AI58" s="48"/>
      <c r="AJ58" s="48"/>
      <c r="AK58" s="48"/>
      <c r="AL58" s="48"/>
    </row>
    <row r="59" spans="1:38" s="263" customFormat="1">
      <c r="A59" s="263">
        <v>802</v>
      </c>
      <c r="B59" s="263" t="s">
        <v>567</v>
      </c>
      <c r="C59" s="263" t="s">
        <v>200</v>
      </c>
      <c r="D59" s="263" t="s">
        <v>200</v>
      </c>
      <c r="E59" s="260" t="s">
        <v>200</v>
      </c>
      <c r="F59" s="260" t="s">
        <v>200</v>
      </c>
      <c r="G59" s="252" t="s">
        <v>834</v>
      </c>
      <c r="H59" s="263" t="s">
        <v>200</v>
      </c>
      <c r="I59" s="263" t="s">
        <v>801</v>
      </c>
      <c r="J59" s="263">
        <v>1</v>
      </c>
      <c r="K59" s="263" t="s">
        <v>151</v>
      </c>
      <c r="L59" s="263" t="s">
        <v>200</v>
      </c>
      <c r="M59" s="263" t="s">
        <v>905</v>
      </c>
      <c r="N59" s="263" t="s">
        <v>913</v>
      </c>
      <c r="V59" s="263" t="s">
        <v>200</v>
      </c>
      <c r="W59" s="277">
        <v>100</v>
      </c>
      <c r="X59" s="265">
        <v>100</v>
      </c>
      <c r="Y59" s="265">
        <v>2</v>
      </c>
      <c r="AE59" s="263" t="s">
        <v>675</v>
      </c>
      <c r="AF59" s="263" t="s">
        <v>715</v>
      </c>
      <c r="AG59" s="263" t="s">
        <v>918</v>
      </c>
      <c r="AI59" s="48"/>
      <c r="AJ59" s="48"/>
      <c r="AK59" s="48"/>
      <c r="AL59" s="48"/>
    </row>
    <row r="60" spans="1:38" s="263" customFormat="1">
      <c r="A60" s="263">
        <v>820</v>
      </c>
      <c r="B60" s="263" t="s">
        <v>567</v>
      </c>
      <c r="C60" s="263" t="s">
        <v>200</v>
      </c>
      <c r="D60" s="263" t="s">
        <v>200</v>
      </c>
      <c r="E60" s="260" t="s">
        <v>200</v>
      </c>
      <c r="F60" s="260" t="s">
        <v>200</v>
      </c>
      <c r="G60" s="252" t="s">
        <v>834</v>
      </c>
      <c r="H60" s="263" t="s">
        <v>200</v>
      </c>
      <c r="I60" s="263" t="s">
        <v>801</v>
      </c>
      <c r="J60" s="263">
        <v>1</v>
      </c>
      <c r="K60" s="263" t="s">
        <v>151</v>
      </c>
      <c r="L60" s="263" t="s">
        <v>200</v>
      </c>
      <c r="M60" s="263" t="s">
        <v>911</v>
      </c>
      <c r="N60" s="263" t="s">
        <v>910</v>
      </c>
      <c r="V60" s="263" t="s">
        <v>200</v>
      </c>
      <c r="W60" s="264">
        <v>150</v>
      </c>
      <c r="X60" s="265">
        <v>150</v>
      </c>
      <c r="Y60" s="265">
        <v>3</v>
      </c>
      <c r="AE60" s="263">
        <v>220916</v>
      </c>
      <c r="AF60" s="263" t="s">
        <v>715</v>
      </c>
      <c r="AG60" s="263" t="s">
        <v>912</v>
      </c>
      <c r="AI60" s="48"/>
      <c r="AJ60" s="48"/>
      <c r="AK60" s="48"/>
      <c r="AL60" s="48"/>
    </row>
    <row r="61" spans="1:38" s="263" customFormat="1">
      <c r="A61" s="263">
        <v>809</v>
      </c>
      <c r="B61" s="263" t="s">
        <v>567</v>
      </c>
      <c r="C61" s="263" t="s">
        <v>200</v>
      </c>
      <c r="D61" s="263" t="s">
        <v>200</v>
      </c>
      <c r="E61" s="260" t="s">
        <v>200</v>
      </c>
      <c r="F61" s="260" t="s">
        <v>200</v>
      </c>
      <c r="G61" s="252" t="s">
        <v>834</v>
      </c>
      <c r="H61" s="263" t="s">
        <v>200</v>
      </c>
      <c r="I61" s="263" t="s">
        <v>801</v>
      </c>
      <c r="J61" s="263">
        <v>1</v>
      </c>
      <c r="K61" s="263" t="s">
        <v>151</v>
      </c>
      <c r="L61" s="263" t="s">
        <v>200</v>
      </c>
      <c r="M61" s="263" t="s">
        <v>905</v>
      </c>
      <c r="N61" s="263" t="s">
        <v>904</v>
      </c>
      <c r="V61" s="263" t="s">
        <v>200</v>
      </c>
      <c r="W61" s="264">
        <v>150</v>
      </c>
      <c r="X61" s="265">
        <v>150</v>
      </c>
      <c r="Y61" s="265">
        <v>3</v>
      </c>
      <c r="AE61" s="263">
        <v>190619</v>
      </c>
      <c r="AF61" s="263" t="s">
        <v>715</v>
      </c>
      <c r="AG61" s="263" t="s">
        <v>909</v>
      </c>
      <c r="AI61" s="48"/>
      <c r="AJ61" s="48"/>
      <c r="AK61" s="48"/>
      <c r="AL61" s="48"/>
    </row>
    <row r="62" spans="1:38" s="263" customFormat="1">
      <c r="A62" s="263">
        <v>813</v>
      </c>
      <c r="B62" s="263" t="s">
        <v>567</v>
      </c>
      <c r="C62" s="263" t="s">
        <v>200</v>
      </c>
      <c r="D62" s="263" t="s">
        <v>200</v>
      </c>
      <c r="E62" s="260" t="s">
        <v>200</v>
      </c>
      <c r="F62" s="260" t="s">
        <v>200</v>
      </c>
      <c r="G62" s="252" t="s">
        <v>834</v>
      </c>
      <c r="H62" s="263" t="s">
        <v>200</v>
      </c>
      <c r="I62" s="263" t="s">
        <v>801</v>
      </c>
      <c r="J62" s="263">
        <v>1</v>
      </c>
      <c r="K62" s="263" t="s">
        <v>63</v>
      </c>
      <c r="L62" s="263" t="s">
        <v>200</v>
      </c>
      <c r="M62" s="263" t="s">
        <v>895</v>
      </c>
      <c r="N62" s="263" t="s">
        <v>894</v>
      </c>
      <c r="V62" s="263" t="s">
        <v>200</v>
      </c>
      <c r="W62" s="277">
        <v>100</v>
      </c>
      <c r="X62" s="265">
        <v>100</v>
      </c>
      <c r="Y62" s="265">
        <v>2</v>
      </c>
      <c r="AE62" s="263">
        <v>221010</v>
      </c>
      <c r="AF62" s="263" t="s">
        <v>715</v>
      </c>
      <c r="AG62" s="263" t="s">
        <v>807</v>
      </c>
      <c r="AI62" s="48"/>
      <c r="AJ62" s="48"/>
      <c r="AK62" s="48"/>
      <c r="AL62" s="48"/>
    </row>
    <row r="63" spans="1:38" s="263" customFormat="1">
      <c r="A63" s="263">
        <v>803</v>
      </c>
      <c r="B63" s="263" t="s">
        <v>567</v>
      </c>
      <c r="C63" s="263" t="s">
        <v>200</v>
      </c>
      <c r="D63" s="263" t="s">
        <v>200</v>
      </c>
      <c r="E63" s="260" t="s">
        <v>200</v>
      </c>
      <c r="F63" s="260" t="s">
        <v>200</v>
      </c>
      <c r="G63" s="252" t="s">
        <v>834</v>
      </c>
      <c r="H63" s="263" t="s">
        <v>200</v>
      </c>
      <c r="I63" s="263" t="s">
        <v>801</v>
      </c>
      <c r="J63" s="263">
        <v>1</v>
      </c>
      <c r="K63" s="263" t="s">
        <v>151</v>
      </c>
      <c r="L63" s="263" t="s">
        <v>200</v>
      </c>
      <c r="M63" s="263" t="s">
        <v>905</v>
      </c>
      <c r="N63" s="263" t="s">
        <v>921</v>
      </c>
      <c r="V63" s="263" t="s">
        <v>200</v>
      </c>
      <c r="W63" s="277">
        <v>100</v>
      </c>
      <c r="X63" s="265">
        <f t="shared" ref="X63:X73" si="0">W63*J63</f>
        <v>100</v>
      </c>
      <c r="Y63" s="265">
        <f t="shared" ref="Y63:Y73" si="1">X63/50</f>
        <v>2</v>
      </c>
      <c r="AE63" s="263">
        <v>201216</v>
      </c>
      <c r="AF63" s="263" t="s">
        <v>782</v>
      </c>
      <c r="AG63" s="263" t="s">
        <v>893</v>
      </c>
      <c r="AI63" s="48"/>
      <c r="AJ63" s="48"/>
      <c r="AK63" s="48"/>
      <c r="AL63" s="48"/>
    </row>
    <row r="64" spans="1:38" s="263" customFormat="1">
      <c r="A64" s="263">
        <v>810</v>
      </c>
      <c r="B64" s="263" t="s">
        <v>567</v>
      </c>
      <c r="C64" s="263" t="s">
        <v>200</v>
      </c>
      <c r="D64" s="263" t="s">
        <v>200</v>
      </c>
      <c r="E64" s="260" t="s">
        <v>200</v>
      </c>
      <c r="F64" s="260" t="s">
        <v>200</v>
      </c>
      <c r="G64" s="252" t="s">
        <v>834</v>
      </c>
      <c r="H64" s="263" t="s">
        <v>200</v>
      </c>
      <c r="I64" s="263" t="s">
        <v>801</v>
      </c>
      <c r="J64" s="263">
        <v>1</v>
      </c>
      <c r="K64" s="263" t="s">
        <v>151</v>
      </c>
      <c r="L64" s="263" t="s">
        <v>200</v>
      </c>
      <c r="M64" s="263" t="s">
        <v>922</v>
      </c>
      <c r="N64" s="263" t="s">
        <v>923</v>
      </c>
      <c r="V64" s="263" t="s">
        <v>200</v>
      </c>
      <c r="W64" s="264">
        <v>150</v>
      </c>
      <c r="X64" s="265">
        <f t="shared" si="0"/>
        <v>150</v>
      </c>
      <c r="Y64" s="265">
        <f t="shared" si="1"/>
        <v>3</v>
      </c>
      <c r="AE64" s="263">
        <v>221216</v>
      </c>
      <c r="AF64" s="263" t="s">
        <v>715</v>
      </c>
      <c r="AG64" s="263" t="s">
        <v>274</v>
      </c>
      <c r="AI64" s="48"/>
      <c r="AJ64" s="48"/>
      <c r="AK64" s="48"/>
      <c r="AL64" s="48"/>
    </row>
    <row r="65" spans="1:38" s="263" customFormat="1">
      <c r="A65" s="263">
        <v>811</v>
      </c>
      <c r="B65" s="263" t="s">
        <v>567</v>
      </c>
      <c r="C65" s="263" t="s">
        <v>200</v>
      </c>
      <c r="D65" s="263" t="s">
        <v>200</v>
      </c>
      <c r="E65" s="260" t="s">
        <v>200</v>
      </c>
      <c r="F65" s="260" t="s">
        <v>200</v>
      </c>
      <c r="G65" s="252" t="s">
        <v>834</v>
      </c>
      <c r="H65" s="263" t="s">
        <v>200</v>
      </c>
      <c r="I65" s="263" t="s">
        <v>801</v>
      </c>
      <c r="J65" s="263">
        <v>1</v>
      </c>
      <c r="K65" s="263" t="s">
        <v>33</v>
      </c>
      <c r="L65" s="263" t="s">
        <v>200</v>
      </c>
      <c r="M65" s="263" t="s">
        <v>924</v>
      </c>
      <c r="N65" s="263" t="s">
        <v>925</v>
      </c>
      <c r="V65" s="263" t="s">
        <v>200</v>
      </c>
      <c r="W65" s="264">
        <v>150</v>
      </c>
      <c r="X65" s="265">
        <f t="shared" si="0"/>
        <v>150</v>
      </c>
      <c r="Y65" s="265">
        <f t="shared" si="1"/>
        <v>3</v>
      </c>
      <c r="AE65" s="263" t="s">
        <v>675</v>
      </c>
      <c r="AF65" s="263" t="s">
        <v>782</v>
      </c>
      <c r="AG65" s="263" t="s">
        <v>864</v>
      </c>
      <c r="AI65" s="48"/>
      <c r="AJ65" s="48"/>
      <c r="AK65" s="48"/>
      <c r="AL65" s="48"/>
    </row>
    <row r="66" spans="1:38" s="263" customFormat="1">
      <c r="A66" s="263">
        <v>812</v>
      </c>
      <c r="B66" s="263" t="s">
        <v>567</v>
      </c>
      <c r="C66" s="263" t="s">
        <v>200</v>
      </c>
      <c r="D66" s="263" t="s">
        <v>200</v>
      </c>
      <c r="E66" s="260" t="s">
        <v>200</v>
      </c>
      <c r="F66" s="260" t="s">
        <v>200</v>
      </c>
      <c r="G66" s="252" t="s">
        <v>834</v>
      </c>
      <c r="H66" s="263" t="s">
        <v>200</v>
      </c>
      <c r="I66" s="263" t="s">
        <v>801</v>
      </c>
      <c r="J66" s="263">
        <v>1</v>
      </c>
      <c r="K66" s="263" t="s">
        <v>151</v>
      </c>
      <c r="L66" s="263" t="s">
        <v>200</v>
      </c>
      <c r="M66" s="263" t="s">
        <v>905</v>
      </c>
      <c r="V66" s="263" t="s">
        <v>200</v>
      </c>
      <c r="W66" s="264">
        <v>150</v>
      </c>
      <c r="X66" s="265">
        <f t="shared" si="0"/>
        <v>150</v>
      </c>
      <c r="Y66" s="265">
        <f t="shared" si="1"/>
        <v>3</v>
      </c>
      <c r="AE66" s="263" t="s">
        <v>675</v>
      </c>
      <c r="AF66" s="263" t="s">
        <v>782</v>
      </c>
      <c r="AG66" s="263" t="s">
        <v>864</v>
      </c>
      <c r="AI66" s="48"/>
      <c r="AJ66" s="48"/>
      <c r="AK66" s="48"/>
      <c r="AL66" s="48"/>
    </row>
    <row r="67" spans="1:38" s="263" customFormat="1">
      <c r="A67" s="263">
        <v>814</v>
      </c>
      <c r="B67" s="263" t="s">
        <v>567</v>
      </c>
      <c r="C67" s="263" t="s">
        <v>200</v>
      </c>
      <c r="D67" s="263" t="s">
        <v>200</v>
      </c>
      <c r="E67" s="260" t="s">
        <v>200</v>
      </c>
      <c r="F67" s="260" t="s">
        <v>200</v>
      </c>
      <c r="G67" s="252" t="s">
        <v>834</v>
      </c>
      <c r="H67" s="263" t="s">
        <v>200</v>
      </c>
      <c r="I67" s="263" t="s">
        <v>801</v>
      </c>
      <c r="J67" s="263">
        <v>1</v>
      </c>
      <c r="K67" s="263" t="s">
        <v>151</v>
      </c>
      <c r="L67" s="263" t="s">
        <v>200</v>
      </c>
      <c r="M67" s="263" t="s">
        <v>922</v>
      </c>
      <c r="N67" s="263" t="s">
        <v>926</v>
      </c>
      <c r="V67" s="263" t="s">
        <v>200</v>
      </c>
      <c r="W67" s="264">
        <v>150</v>
      </c>
      <c r="X67" s="265">
        <f t="shared" si="0"/>
        <v>150</v>
      </c>
      <c r="Y67" s="265">
        <f t="shared" si="1"/>
        <v>3</v>
      </c>
      <c r="AE67" s="263" t="s">
        <v>675</v>
      </c>
      <c r="AF67" s="263" t="s">
        <v>782</v>
      </c>
      <c r="AG67" s="263" t="s">
        <v>864</v>
      </c>
      <c r="AI67" s="48"/>
      <c r="AJ67" s="48"/>
      <c r="AK67" s="48"/>
      <c r="AL67" s="48"/>
    </row>
    <row r="68" spans="1:38" s="263" customFormat="1">
      <c r="A68" s="263">
        <v>817</v>
      </c>
      <c r="B68" s="263" t="s">
        <v>567</v>
      </c>
      <c r="C68" s="263" t="s">
        <v>200</v>
      </c>
      <c r="D68" s="263" t="s">
        <v>200</v>
      </c>
      <c r="E68" s="260" t="s">
        <v>200</v>
      </c>
      <c r="F68" s="260" t="s">
        <v>200</v>
      </c>
      <c r="G68" s="252" t="s">
        <v>834</v>
      </c>
      <c r="H68" s="263" t="s">
        <v>200</v>
      </c>
      <c r="I68" s="263" t="s">
        <v>801</v>
      </c>
      <c r="J68" s="263">
        <v>1</v>
      </c>
      <c r="K68" s="263" t="s">
        <v>927</v>
      </c>
      <c r="L68" s="263" t="s">
        <v>200</v>
      </c>
      <c r="M68" s="263" t="s">
        <v>928</v>
      </c>
      <c r="N68" s="263">
        <v>11795</v>
      </c>
      <c r="V68" s="263" t="s">
        <v>200</v>
      </c>
      <c r="W68" s="264">
        <v>150</v>
      </c>
      <c r="X68" s="265">
        <f t="shared" si="0"/>
        <v>150</v>
      </c>
      <c r="Y68" s="265">
        <f t="shared" si="1"/>
        <v>3</v>
      </c>
      <c r="AE68" s="263" t="s">
        <v>675</v>
      </c>
      <c r="AF68" s="263" t="s">
        <v>782</v>
      </c>
      <c r="AG68" s="263" t="s">
        <v>864</v>
      </c>
      <c r="AI68" s="48"/>
      <c r="AJ68" s="48"/>
      <c r="AK68" s="48"/>
      <c r="AL68" s="48"/>
    </row>
    <row r="69" spans="1:38" s="263" customFormat="1">
      <c r="A69" s="263">
        <v>818</v>
      </c>
      <c r="B69" s="263" t="s">
        <v>567</v>
      </c>
      <c r="C69" s="263" t="s">
        <v>200</v>
      </c>
      <c r="D69" s="263" t="s">
        <v>200</v>
      </c>
      <c r="E69" s="260" t="s">
        <v>200</v>
      </c>
      <c r="F69" s="260" t="s">
        <v>200</v>
      </c>
      <c r="G69" s="252" t="s">
        <v>834</v>
      </c>
      <c r="H69" s="263" t="s">
        <v>200</v>
      </c>
      <c r="I69" s="263" t="s">
        <v>801</v>
      </c>
      <c r="J69" s="263">
        <v>1</v>
      </c>
      <c r="K69" s="263" t="s">
        <v>929</v>
      </c>
      <c r="L69" s="263" t="s">
        <v>200</v>
      </c>
      <c r="M69" s="263" t="s">
        <v>930</v>
      </c>
      <c r="V69" s="263" t="s">
        <v>200</v>
      </c>
      <c r="W69" s="264">
        <v>150</v>
      </c>
      <c r="X69" s="265">
        <f t="shared" si="0"/>
        <v>150</v>
      </c>
      <c r="Y69" s="265">
        <f t="shared" si="1"/>
        <v>3</v>
      </c>
      <c r="AE69" s="263" t="s">
        <v>675</v>
      </c>
      <c r="AF69" s="263" t="s">
        <v>782</v>
      </c>
      <c r="AG69" s="263" t="s">
        <v>864</v>
      </c>
      <c r="AI69" s="48"/>
      <c r="AJ69" s="48"/>
      <c r="AK69" s="48"/>
      <c r="AL69" s="48"/>
    </row>
    <row r="70" spans="1:38" s="263" customFormat="1">
      <c r="A70" s="263">
        <v>821</v>
      </c>
      <c r="B70" s="263" t="s">
        <v>567</v>
      </c>
      <c r="C70" s="263" t="s">
        <v>200</v>
      </c>
      <c r="D70" s="263" t="s">
        <v>200</v>
      </c>
      <c r="E70" s="260" t="s">
        <v>200</v>
      </c>
      <c r="F70" s="260" t="s">
        <v>200</v>
      </c>
      <c r="G70" s="252" t="s">
        <v>834</v>
      </c>
      <c r="H70" s="263" t="s">
        <v>200</v>
      </c>
      <c r="I70" s="263" t="s">
        <v>801</v>
      </c>
      <c r="J70" s="263">
        <v>1</v>
      </c>
      <c r="K70" s="263" t="s">
        <v>151</v>
      </c>
      <c r="L70" s="263" t="s">
        <v>200</v>
      </c>
      <c r="M70" s="263" t="s">
        <v>931</v>
      </c>
      <c r="V70" s="263" t="s">
        <v>200</v>
      </c>
      <c r="W70" s="277">
        <v>100</v>
      </c>
      <c r="X70" s="265">
        <f t="shared" si="0"/>
        <v>100</v>
      </c>
      <c r="Y70" s="265">
        <f t="shared" si="1"/>
        <v>2</v>
      </c>
      <c r="AE70" s="263" t="s">
        <v>675</v>
      </c>
      <c r="AF70" s="263" t="s">
        <v>782</v>
      </c>
      <c r="AG70" s="263" t="s">
        <v>864</v>
      </c>
      <c r="AI70" s="48"/>
      <c r="AJ70" s="48"/>
      <c r="AK70" s="48"/>
      <c r="AL70" s="48"/>
    </row>
    <row r="71" spans="1:38" s="263" customFormat="1">
      <c r="A71" s="263">
        <v>819</v>
      </c>
      <c r="B71" s="263" t="s">
        <v>567</v>
      </c>
      <c r="C71" s="263" t="s">
        <v>200</v>
      </c>
      <c r="D71" s="263" t="s">
        <v>200</v>
      </c>
      <c r="E71" s="260" t="s">
        <v>200</v>
      </c>
      <c r="F71" s="260" t="s">
        <v>200</v>
      </c>
      <c r="G71" s="252" t="s">
        <v>834</v>
      </c>
      <c r="H71" s="263" t="s">
        <v>200</v>
      </c>
      <c r="I71" s="263" t="s">
        <v>801</v>
      </c>
      <c r="J71" s="263">
        <v>1</v>
      </c>
      <c r="K71" s="263" t="s">
        <v>151</v>
      </c>
      <c r="L71" s="263" t="s">
        <v>200</v>
      </c>
      <c r="M71" s="263" t="s">
        <v>933</v>
      </c>
      <c r="V71" s="263" t="s">
        <v>200</v>
      </c>
      <c r="W71" s="264">
        <v>150</v>
      </c>
      <c r="X71" s="265">
        <f t="shared" si="0"/>
        <v>150</v>
      </c>
      <c r="Y71" s="265">
        <f t="shared" si="1"/>
        <v>3</v>
      </c>
      <c r="AE71" s="263">
        <v>200317</v>
      </c>
      <c r="AF71" s="263" t="s">
        <v>782</v>
      </c>
      <c r="AG71" s="263" t="s">
        <v>932</v>
      </c>
      <c r="AI71" s="48"/>
      <c r="AJ71" s="48"/>
      <c r="AK71" s="48"/>
      <c r="AL71" s="48"/>
    </row>
    <row r="72" spans="1:38" s="263" customFormat="1">
      <c r="A72" s="263">
        <v>822</v>
      </c>
      <c r="B72" s="263" t="s">
        <v>567</v>
      </c>
      <c r="C72" s="263" t="s">
        <v>200</v>
      </c>
      <c r="D72" s="263" t="s">
        <v>200</v>
      </c>
      <c r="E72" s="260" t="s">
        <v>200</v>
      </c>
      <c r="F72" s="260" t="s">
        <v>200</v>
      </c>
      <c r="G72" s="252" t="s">
        <v>834</v>
      </c>
      <c r="H72" s="263" t="s">
        <v>200</v>
      </c>
      <c r="I72" s="263" t="s">
        <v>801</v>
      </c>
      <c r="J72" s="263">
        <v>1</v>
      </c>
      <c r="K72" s="263" t="s">
        <v>934</v>
      </c>
      <c r="L72" s="263" t="s">
        <v>200</v>
      </c>
      <c r="M72" s="263" t="s">
        <v>935</v>
      </c>
      <c r="N72" s="263">
        <v>1112607880</v>
      </c>
      <c r="V72" s="263" t="s">
        <v>200</v>
      </c>
      <c r="W72" s="264">
        <v>150</v>
      </c>
      <c r="X72" s="265">
        <f t="shared" si="0"/>
        <v>150</v>
      </c>
      <c r="Y72" s="265">
        <f t="shared" si="1"/>
        <v>3</v>
      </c>
      <c r="AE72" s="263" t="s">
        <v>675</v>
      </c>
      <c r="AF72" s="263" t="s">
        <v>782</v>
      </c>
      <c r="AG72" s="263" t="s">
        <v>864</v>
      </c>
      <c r="AI72" s="48"/>
      <c r="AJ72" s="48"/>
      <c r="AK72" s="48"/>
      <c r="AL72" s="48"/>
    </row>
    <row r="73" spans="1:38" s="263" customFormat="1">
      <c r="A73" s="263">
        <v>823</v>
      </c>
      <c r="B73" s="263" t="s">
        <v>567</v>
      </c>
      <c r="C73" s="263" t="s">
        <v>200</v>
      </c>
      <c r="D73" s="263" t="s">
        <v>200</v>
      </c>
      <c r="E73" s="260" t="s">
        <v>200</v>
      </c>
      <c r="F73" s="260" t="s">
        <v>200</v>
      </c>
      <c r="G73" s="252" t="s">
        <v>834</v>
      </c>
      <c r="H73" s="263" t="s">
        <v>200</v>
      </c>
      <c r="I73" s="263" t="s">
        <v>801</v>
      </c>
      <c r="J73" s="263">
        <v>1</v>
      </c>
      <c r="K73" s="263" t="s">
        <v>604</v>
      </c>
      <c r="L73" s="263" t="s">
        <v>200</v>
      </c>
      <c r="M73" s="263" t="s">
        <v>936</v>
      </c>
      <c r="V73" s="263" t="s">
        <v>200</v>
      </c>
      <c r="W73" s="264">
        <v>150</v>
      </c>
      <c r="X73" s="265">
        <f t="shared" si="0"/>
        <v>150</v>
      </c>
      <c r="Y73" s="265">
        <f t="shared" si="1"/>
        <v>3</v>
      </c>
      <c r="AE73" s="263" t="s">
        <v>675</v>
      </c>
      <c r="AF73" s="263" t="s">
        <v>782</v>
      </c>
      <c r="AG73" s="263" t="s">
        <v>864</v>
      </c>
      <c r="AI73" s="48"/>
      <c r="AJ73" s="48"/>
      <c r="AK73" s="48"/>
      <c r="AL73" s="48"/>
    </row>
    <row r="74" spans="1:38" s="263" customFormat="1" ht="15">
      <c r="A74" s="271">
        <v>1801</v>
      </c>
      <c r="B74" s="272" t="s">
        <v>1022</v>
      </c>
      <c r="C74" s="272"/>
      <c r="D74" s="263" t="s">
        <v>200</v>
      </c>
      <c r="E74" s="272"/>
      <c r="F74" s="263" t="s">
        <v>200</v>
      </c>
      <c r="G74" s="263" t="s">
        <v>834</v>
      </c>
      <c r="H74" s="263" t="s">
        <v>200</v>
      </c>
      <c r="I74" s="272" t="s">
        <v>801</v>
      </c>
      <c r="J74" s="263">
        <v>1</v>
      </c>
      <c r="K74" s="272" t="s">
        <v>1023</v>
      </c>
      <c r="L74" s="272" t="s">
        <v>1024</v>
      </c>
      <c r="M74" s="272"/>
      <c r="N74" s="272"/>
      <c r="O74" s="272"/>
      <c r="P74" s="272"/>
      <c r="Q74" s="272"/>
      <c r="R74" s="272"/>
      <c r="S74" s="272"/>
      <c r="T74" s="272"/>
      <c r="V74" s="272" t="s">
        <v>200</v>
      </c>
      <c r="W74" s="272" t="s">
        <v>200</v>
      </c>
      <c r="X74" s="272" t="s">
        <v>200</v>
      </c>
      <c r="Y74" s="272"/>
      <c r="Z74" s="272"/>
      <c r="AA74" s="272"/>
      <c r="AE74" s="272" t="s">
        <v>675</v>
      </c>
      <c r="AF74" s="272" t="s">
        <v>782</v>
      </c>
      <c r="AG74" s="272" t="s">
        <v>864</v>
      </c>
      <c r="AI74" s="48"/>
      <c r="AJ74" s="48"/>
      <c r="AK74" s="48"/>
      <c r="AL74" s="48"/>
    </row>
    <row r="75" spans="1:38" s="263" customFormat="1" ht="15">
      <c r="A75" s="271">
        <v>1802</v>
      </c>
      <c r="B75" s="272" t="s">
        <v>1022</v>
      </c>
      <c r="C75" s="272"/>
      <c r="D75" s="263" t="s">
        <v>200</v>
      </c>
      <c r="E75" s="272"/>
      <c r="F75" s="263" t="s">
        <v>200</v>
      </c>
      <c r="G75" s="263" t="s">
        <v>834</v>
      </c>
      <c r="H75" s="263" t="s">
        <v>200</v>
      </c>
      <c r="I75" s="272" t="s">
        <v>801</v>
      </c>
      <c r="J75" s="263">
        <v>1</v>
      </c>
      <c r="K75" s="272" t="s">
        <v>1025</v>
      </c>
      <c r="L75" s="272" t="s">
        <v>1026</v>
      </c>
      <c r="M75" s="272"/>
      <c r="N75" s="272"/>
      <c r="O75" s="272"/>
      <c r="P75" s="272"/>
      <c r="Q75" s="272"/>
      <c r="R75" s="272"/>
      <c r="S75" s="272"/>
      <c r="T75" s="272"/>
      <c r="V75" s="272" t="s">
        <v>200</v>
      </c>
      <c r="W75" s="272" t="s">
        <v>200</v>
      </c>
      <c r="X75" s="272" t="s">
        <v>200</v>
      </c>
      <c r="Y75" s="272"/>
      <c r="Z75" s="272"/>
      <c r="AA75" s="272"/>
      <c r="AE75" s="272" t="s">
        <v>675</v>
      </c>
      <c r="AF75" s="272" t="s">
        <v>782</v>
      </c>
      <c r="AG75" s="272" t="s">
        <v>864</v>
      </c>
      <c r="AI75" s="48"/>
      <c r="AJ75" s="48"/>
      <c r="AK75" s="48"/>
      <c r="AL75" s="48"/>
    </row>
    <row r="76" spans="1:38" s="263" customFormat="1" ht="15">
      <c r="A76" s="271">
        <v>1800</v>
      </c>
      <c r="B76" s="272" t="s">
        <v>1022</v>
      </c>
      <c r="C76" s="272"/>
      <c r="D76" s="263" t="s">
        <v>200</v>
      </c>
      <c r="E76" s="272"/>
      <c r="F76" s="263" t="s">
        <v>200</v>
      </c>
      <c r="G76" s="263" t="s">
        <v>834</v>
      </c>
      <c r="H76" s="263" t="s">
        <v>200</v>
      </c>
      <c r="I76" s="272" t="s">
        <v>801</v>
      </c>
      <c r="J76" s="263">
        <v>1</v>
      </c>
      <c r="K76" s="272" t="s">
        <v>1027</v>
      </c>
      <c r="L76" s="272" t="s">
        <v>1028</v>
      </c>
      <c r="M76" s="272"/>
      <c r="N76" s="272"/>
      <c r="O76" s="272"/>
      <c r="P76" s="272"/>
      <c r="Q76" s="272"/>
      <c r="R76" s="272"/>
      <c r="S76" s="272"/>
      <c r="T76" s="272"/>
      <c r="V76" s="272" t="s">
        <v>200</v>
      </c>
      <c r="W76" s="272" t="s">
        <v>200</v>
      </c>
      <c r="X76" s="272" t="s">
        <v>200</v>
      </c>
      <c r="Y76" s="272"/>
      <c r="Z76" s="272"/>
      <c r="AA76" s="272"/>
      <c r="AE76" s="272" t="s">
        <v>675</v>
      </c>
      <c r="AF76" s="272" t="s">
        <v>715</v>
      </c>
      <c r="AG76" s="272" t="s">
        <v>1029</v>
      </c>
      <c r="AI76" s="48"/>
      <c r="AJ76" s="48"/>
      <c r="AK76" s="48"/>
      <c r="AL76" s="48"/>
    </row>
    <row r="77" spans="1:38" s="263" customFormat="1" ht="15">
      <c r="A77" s="271">
        <v>2304</v>
      </c>
      <c r="B77" s="272" t="s">
        <v>1030</v>
      </c>
      <c r="C77" s="272"/>
      <c r="D77" s="263" t="s">
        <v>200</v>
      </c>
      <c r="E77" s="272"/>
      <c r="F77" s="263" t="s">
        <v>200</v>
      </c>
      <c r="G77" s="263" t="s">
        <v>834</v>
      </c>
      <c r="H77" s="263" t="s">
        <v>200</v>
      </c>
      <c r="I77" s="272" t="s">
        <v>801</v>
      </c>
      <c r="J77" s="263">
        <v>1</v>
      </c>
      <c r="K77" s="272" t="s">
        <v>1031</v>
      </c>
      <c r="L77" s="272" t="s">
        <v>1032</v>
      </c>
      <c r="M77" s="272"/>
      <c r="N77" s="272"/>
      <c r="O77" s="272"/>
      <c r="P77" s="272"/>
      <c r="Q77" s="272"/>
      <c r="R77" s="272"/>
      <c r="S77" s="272"/>
      <c r="T77" s="272"/>
      <c r="V77" s="272" t="s">
        <v>200</v>
      </c>
      <c r="W77" s="272" t="s">
        <v>200</v>
      </c>
      <c r="X77" s="272" t="s">
        <v>200</v>
      </c>
      <c r="Y77" s="272"/>
      <c r="Z77" s="272"/>
      <c r="AA77" s="272"/>
      <c r="AE77" s="272" t="s">
        <v>675</v>
      </c>
      <c r="AF77" s="272" t="s">
        <v>782</v>
      </c>
      <c r="AG77" s="272" t="s">
        <v>864</v>
      </c>
      <c r="AI77" s="48"/>
      <c r="AJ77" s="48"/>
      <c r="AK77" s="48"/>
      <c r="AL77" s="48"/>
    </row>
    <row r="78" spans="1:38" s="263" customFormat="1">
      <c r="A78" s="236">
        <v>107</v>
      </c>
      <c r="B78" s="237" t="s">
        <v>110</v>
      </c>
      <c r="C78" s="237" t="s">
        <v>200</v>
      </c>
      <c r="D78" s="237" t="s">
        <v>200</v>
      </c>
      <c r="E78" s="237" t="s">
        <v>200</v>
      </c>
      <c r="F78" s="237" t="s">
        <v>200</v>
      </c>
      <c r="G78" s="252" t="s">
        <v>834</v>
      </c>
      <c r="H78" s="238" t="s">
        <v>200</v>
      </c>
      <c r="I78" s="237" t="s">
        <v>801</v>
      </c>
      <c r="J78" s="237">
        <v>1</v>
      </c>
      <c r="K78" s="237" t="s">
        <v>251</v>
      </c>
      <c r="L78" s="238" t="s">
        <v>200</v>
      </c>
      <c r="M78" s="237" t="s">
        <v>707</v>
      </c>
      <c r="N78" s="237" t="s">
        <v>708</v>
      </c>
      <c r="O78" s="237" t="s">
        <v>709</v>
      </c>
      <c r="P78" s="237" t="s">
        <v>710</v>
      </c>
      <c r="Q78" s="237" t="s">
        <v>711</v>
      </c>
      <c r="R78" s="237" t="s">
        <v>712</v>
      </c>
      <c r="S78" s="237" t="s">
        <v>713</v>
      </c>
      <c r="T78" s="237" t="s">
        <v>714</v>
      </c>
      <c r="U78" s="237" t="s">
        <v>407</v>
      </c>
      <c r="V78" s="237" t="s">
        <v>200</v>
      </c>
      <c r="W78" s="239">
        <v>18000</v>
      </c>
      <c r="X78" s="240">
        <f t="shared" ref="X78:X84" si="2">W78*J78</f>
        <v>18000</v>
      </c>
      <c r="Y78" s="240">
        <f t="shared" ref="Y78:Y84" si="3">X78/50</f>
        <v>360</v>
      </c>
      <c r="Z78" s="237"/>
      <c r="AA78" s="241"/>
      <c r="AB78" s="242"/>
      <c r="AC78" s="238"/>
      <c r="AD78" s="238"/>
      <c r="AE78" s="237">
        <v>221103</v>
      </c>
      <c r="AF78" s="237" t="s">
        <v>715</v>
      </c>
      <c r="AG78" s="237" t="s">
        <v>716</v>
      </c>
      <c r="AH78" s="237">
        <v>221103</v>
      </c>
      <c r="AI78" s="48"/>
      <c r="AJ78" s="48"/>
      <c r="AK78" s="48"/>
      <c r="AL78" s="48"/>
    </row>
    <row r="79" spans="1:38" s="263" customFormat="1">
      <c r="A79" s="243">
        <v>111</v>
      </c>
      <c r="B79" s="238" t="s">
        <v>110</v>
      </c>
      <c r="C79" s="237" t="s">
        <v>200</v>
      </c>
      <c r="D79" s="237" t="s">
        <v>200</v>
      </c>
      <c r="E79" s="237" t="s">
        <v>200</v>
      </c>
      <c r="F79" s="237" t="s">
        <v>200</v>
      </c>
      <c r="G79" s="252" t="s">
        <v>834</v>
      </c>
      <c r="H79" s="238" t="s">
        <v>200</v>
      </c>
      <c r="I79" s="237" t="s">
        <v>801</v>
      </c>
      <c r="J79" s="238">
        <v>1</v>
      </c>
      <c r="K79" s="238" t="s">
        <v>63</v>
      </c>
      <c r="L79" s="238" t="s">
        <v>200</v>
      </c>
      <c r="M79" s="238" t="s">
        <v>723</v>
      </c>
      <c r="N79" s="238" t="s">
        <v>724</v>
      </c>
      <c r="O79" s="238" t="s">
        <v>709</v>
      </c>
      <c r="P79" s="238" t="s">
        <v>725</v>
      </c>
      <c r="Q79" s="238" t="s">
        <v>244</v>
      </c>
      <c r="R79" s="238" t="s">
        <v>712</v>
      </c>
      <c r="S79" s="238" t="s">
        <v>147</v>
      </c>
      <c r="T79" s="238" t="s">
        <v>714</v>
      </c>
      <c r="U79" s="238" t="s">
        <v>407</v>
      </c>
      <c r="V79" s="237" t="s">
        <v>200</v>
      </c>
      <c r="W79" s="244">
        <v>30000</v>
      </c>
      <c r="X79" s="245">
        <f t="shared" si="2"/>
        <v>30000</v>
      </c>
      <c r="Y79" s="245">
        <f t="shared" si="3"/>
        <v>600</v>
      </c>
      <c r="Z79" s="238"/>
      <c r="AA79" s="246"/>
      <c r="AB79" s="238"/>
      <c r="AC79" s="238"/>
      <c r="AD79" s="238"/>
      <c r="AE79" s="238">
        <v>221015</v>
      </c>
      <c r="AF79" s="238" t="s">
        <v>715</v>
      </c>
      <c r="AG79" s="238" t="s">
        <v>726</v>
      </c>
      <c r="AH79" s="238">
        <v>221015</v>
      </c>
      <c r="AI79" s="48"/>
      <c r="AJ79" s="48"/>
      <c r="AK79" s="48"/>
      <c r="AL79" s="48"/>
    </row>
    <row r="80" spans="1:38" s="263" customFormat="1">
      <c r="A80" s="243">
        <v>112</v>
      </c>
      <c r="B80" s="238" t="s">
        <v>110</v>
      </c>
      <c r="C80" s="237" t="s">
        <v>200</v>
      </c>
      <c r="D80" s="237" t="s">
        <v>200</v>
      </c>
      <c r="E80" s="237" t="s">
        <v>200</v>
      </c>
      <c r="F80" s="237" t="s">
        <v>200</v>
      </c>
      <c r="G80" s="252" t="s">
        <v>834</v>
      </c>
      <c r="H80" s="238" t="s">
        <v>200</v>
      </c>
      <c r="I80" s="237" t="s">
        <v>801</v>
      </c>
      <c r="J80" s="238">
        <v>1</v>
      </c>
      <c r="K80" s="238" t="s">
        <v>727</v>
      </c>
      <c r="L80" s="238" t="s">
        <v>200</v>
      </c>
      <c r="M80" s="238" t="s">
        <v>728</v>
      </c>
      <c r="N80" s="238" t="s">
        <v>729</v>
      </c>
      <c r="O80" s="238" t="s">
        <v>730</v>
      </c>
      <c r="P80" s="238" t="s">
        <v>731</v>
      </c>
      <c r="Q80" s="238" t="s">
        <v>732</v>
      </c>
      <c r="R80" s="238" t="s">
        <v>712</v>
      </c>
      <c r="S80" s="238" t="s">
        <v>117</v>
      </c>
      <c r="T80" s="238" t="s">
        <v>118</v>
      </c>
      <c r="U80" s="238" t="s">
        <v>258</v>
      </c>
      <c r="V80" s="237" t="s">
        <v>200</v>
      </c>
      <c r="W80" s="244">
        <v>15000</v>
      </c>
      <c r="X80" s="245">
        <f t="shared" si="2"/>
        <v>15000</v>
      </c>
      <c r="Y80" s="245">
        <f t="shared" si="3"/>
        <v>300</v>
      </c>
      <c r="Z80" s="238"/>
      <c r="AA80" s="246"/>
      <c r="AB80" s="238"/>
      <c r="AC80" s="238"/>
      <c r="AD80" s="238"/>
      <c r="AE80" s="238">
        <v>221216</v>
      </c>
      <c r="AF80" s="238" t="s">
        <v>715</v>
      </c>
      <c r="AG80" s="238" t="s">
        <v>733</v>
      </c>
      <c r="AH80" s="238">
        <v>221216</v>
      </c>
      <c r="AI80" s="48"/>
      <c r="AJ80" s="48"/>
      <c r="AK80" s="48"/>
      <c r="AL80" s="48"/>
    </row>
    <row r="81" spans="1:38" s="263" customFormat="1">
      <c r="A81" s="243">
        <v>113</v>
      </c>
      <c r="B81" s="238" t="s">
        <v>110</v>
      </c>
      <c r="C81" s="237" t="s">
        <v>200</v>
      </c>
      <c r="D81" s="237" t="s">
        <v>200</v>
      </c>
      <c r="E81" s="237" t="s">
        <v>200</v>
      </c>
      <c r="F81" s="237" t="s">
        <v>200</v>
      </c>
      <c r="G81" s="252" t="s">
        <v>834</v>
      </c>
      <c r="H81" s="238" t="s">
        <v>200</v>
      </c>
      <c r="I81" s="237" t="s">
        <v>801</v>
      </c>
      <c r="J81" s="238">
        <v>1</v>
      </c>
      <c r="K81" s="238" t="s">
        <v>151</v>
      </c>
      <c r="L81" s="238" t="s">
        <v>200</v>
      </c>
      <c r="M81" s="238" t="s">
        <v>734</v>
      </c>
      <c r="N81" s="238" t="s">
        <v>735</v>
      </c>
      <c r="O81" s="238" t="s">
        <v>144</v>
      </c>
      <c r="P81" s="238" t="s">
        <v>736</v>
      </c>
      <c r="Q81" s="238" t="s">
        <v>737</v>
      </c>
      <c r="R81" s="238" t="s">
        <v>712</v>
      </c>
      <c r="S81" s="238" t="s">
        <v>294</v>
      </c>
      <c r="T81" s="238" t="s">
        <v>714</v>
      </c>
      <c r="U81" s="238" t="s">
        <v>738</v>
      </c>
      <c r="V81" s="237" t="s">
        <v>200</v>
      </c>
      <c r="W81" s="244">
        <v>13000</v>
      </c>
      <c r="X81" s="245">
        <f t="shared" si="2"/>
        <v>13000</v>
      </c>
      <c r="Y81" s="245">
        <f t="shared" si="3"/>
        <v>260</v>
      </c>
      <c r="Z81" s="238"/>
      <c r="AA81" s="246"/>
      <c r="AB81" s="238"/>
      <c r="AC81" s="238"/>
      <c r="AD81" s="238"/>
      <c r="AE81" s="238" t="s">
        <v>675</v>
      </c>
      <c r="AF81" s="238" t="s">
        <v>715</v>
      </c>
      <c r="AG81" s="238" t="s">
        <v>739</v>
      </c>
      <c r="AH81" s="238" t="s">
        <v>675</v>
      </c>
      <c r="AI81" s="48"/>
      <c r="AJ81" s="48"/>
      <c r="AK81" s="48"/>
      <c r="AL81" s="48"/>
    </row>
    <row r="82" spans="1:38" s="263" customFormat="1">
      <c r="A82" s="243">
        <v>116</v>
      </c>
      <c r="B82" s="238" t="s">
        <v>110</v>
      </c>
      <c r="C82" s="237" t="s">
        <v>200</v>
      </c>
      <c r="D82" s="237" t="s">
        <v>200</v>
      </c>
      <c r="E82" s="237" t="s">
        <v>200</v>
      </c>
      <c r="F82" s="237" t="s">
        <v>200</v>
      </c>
      <c r="G82" s="252" t="s">
        <v>834</v>
      </c>
      <c r="H82" s="238" t="s">
        <v>200</v>
      </c>
      <c r="I82" s="237" t="s">
        <v>801</v>
      </c>
      <c r="J82" s="238">
        <v>1</v>
      </c>
      <c r="K82" s="238" t="s">
        <v>740</v>
      </c>
      <c r="L82" s="238" t="s">
        <v>200</v>
      </c>
      <c r="M82" s="238" t="s">
        <v>741</v>
      </c>
      <c r="N82" s="238" t="s">
        <v>742</v>
      </c>
      <c r="O82" s="238" t="s">
        <v>249</v>
      </c>
      <c r="P82" s="238" t="s">
        <v>743</v>
      </c>
      <c r="Q82" s="238" t="s">
        <v>744</v>
      </c>
      <c r="R82" s="238" t="s">
        <v>712</v>
      </c>
      <c r="S82" s="238" t="s">
        <v>117</v>
      </c>
      <c r="T82" s="238" t="s">
        <v>73</v>
      </c>
      <c r="U82" s="238" t="s">
        <v>295</v>
      </c>
      <c r="V82" s="237" t="s">
        <v>200</v>
      </c>
      <c r="W82" s="244">
        <v>15000</v>
      </c>
      <c r="X82" s="245">
        <f t="shared" si="2"/>
        <v>15000</v>
      </c>
      <c r="Y82" s="245">
        <f t="shared" si="3"/>
        <v>300</v>
      </c>
      <c r="Z82" s="238"/>
      <c r="AA82" s="246"/>
      <c r="AB82" s="238"/>
      <c r="AC82" s="238"/>
      <c r="AD82" s="238"/>
      <c r="AE82" s="238">
        <v>220108</v>
      </c>
      <c r="AF82" s="238" t="s">
        <v>715</v>
      </c>
      <c r="AG82" s="238" t="s">
        <v>745</v>
      </c>
      <c r="AH82" s="238">
        <v>220108</v>
      </c>
      <c r="AI82" s="48"/>
      <c r="AJ82" s="48"/>
      <c r="AK82" s="48"/>
      <c r="AL82" s="48"/>
    </row>
    <row r="83" spans="1:38" s="263" customFormat="1">
      <c r="A83" s="243">
        <v>114</v>
      </c>
      <c r="B83" s="238" t="s">
        <v>110</v>
      </c>
      <c r="C83" s="237" t="s">
        <v>200</v>
      </c>
      <c r="D83" s="237" t="s">
        <v>200</v>
      </c>
      <c r="E83" s="237" t="s">
        <v>200</v>
      </c>
      <c r="F83" s="237" t="s">
        <v>200</v>
      </c>
      <c r="G83" s="252" t="s">
        <v>834</v>
      </c>
      <c r="H83" s="238" t="s">
        <v>200</v>
      </c>
      <c r="I83" s="237" t="s">
        <v>801</v>
      </c>
      <c r="J83" s="238">
        <v>1</v>
      </c>
      <c r="K83" s="238" t="s">
        <v>63</v>
      </c>
      <c r="L83" s="238" t="s">
        <v>200</v>
      </c>
      <c r="M83" s="238" t="s">
        <v>746</v>
      </c>
      <c r="N83" s="238" t="s">
        <v>747</v>
      </c>
      <c r="O83" s="238" t="s">
        <v>709</v>
      </c>
      <c r="P83" s="238" t="s">
        <v>748</v>
      </c>
      <c r="Q83" s="238" t="s">
        <v>711</v>
      </c>
      <c r="R83" s="238" t="s">
        <v>712</v>
      </c>
      <c r="S83" s="238" t="s">
        <v>294</v>
      </c>
      <c r="T83" s="238" t="s">
        <v>714</v>
      </c>
      <c r="U83" s="238" t="s">
        <v>258</v>
      </c>
      <c r="V83" s="237" t="s">
        <v>200</v>
      </c>
      <c r="W83" s="244">
        <v>6500</v>
      </c>
      <c r="X83" s="245">
        <f t="shared" si="2"/>
        <v>6500</v>
      </c>
      <c r="Y83" s="245">
        <f t="shared" si="3"/>
        <v>130</v>
      </c>
      <c r="Z83" s="238"/>
      <c r="AA83" s="246"/>
      <c r="AB83" s="238"/>
      <c r="AC83" s="238"/>
      <c r="AD83" s="238"/>
      <c r="AE83" s="238" t="s">
        <v>675</v>
      </c>
      <c r="AF83" s="238" t="s">
        <v>715</v>
      </c>
      <c r="AG83" s="238" t="s">
        <v>739</v>
      </c>
      <c r="AH83" s="238" t="s">
        <v>675</v>
      </c>
      <c r="AI83" s="48"/>
      <c r="AJ83" s="48"/>
      <c r="AK83" s="48"/>
      <c r="AL83" s="48"/>
    </row>
    <row r="84" spans="1:38" s="263" customFormat="1">
      <c r="A84" s="243">
        <v>115</v>
      </c>
      <c r="B84" s="237" t="s">
        <v>110</v>
      </c>
      <c r="C84" s="237" t="s">
        <v>200</v>
      </c>
      <c r="D84" s="237" t="s">
        <v>200</v>
      </c>
      <c r="E84" s="237" t="s">
        <v>200</v>
      </c>
      <c r="F84" s="237" t="s">
        <v>200</v>
      </c>
      <c r="G84" s="252" t="s">
        <v>834</v>
      </c>
      <c r="H84" s="238" t="s">
        <v>200</v>
      </c>
      <c r="I84" s="237" t="s">
        <v>801</v>
      </c>
      <c r="J84" s="237">
        <v>1</v>
      </c>
      <c r="K84" s="237" t="s">
        <v>151</v>
      </c>
      <c r="L84" s="238" t="s">
        <v>200</v>
      </c>
      <c r="M84" s="237" t="s">
        <v>749</v>
      </c>
      <c r="N84" s="237" t="s">
        <v>750</v>
      </c>
      <c r="O84" s="237" t="s">
        <v>709</v>
      </c>
      <c r="P84" s="237" t="s">
        <v>751</v>
      </c>
      <c r="Q84" s="237" t="s">
        <v>752</v>
      </c>
      <c r="R84" s="237" t="s">
        <v>753</v>
      </c>
      <c r="S84" s="237" t="s">
        <v>141</v>
      </c>
      <c r="T84" s="237" t="s">
        <v>714</v>
      </c>
      <c r="U84" s="237" t="s">
        <v>754</v>
      </c>
      <c r="V84" s="237" t="s">
        <v>200</v>
      </c>
      <c r="W84" s="239">
        <v>1000</v>
      </c>
      <c r="X84" s="245">
        <f t="shared" si="2"/>
        <v>1000</v>
      </c>
      <c r="Y84" s="245">
        <f t="shared" si="3"/>
        <v>20</v>
      </c>
      <c r="Z84" s="237"/>
      <c r="AA84" s="241"/>
      <c r="AB84" s="237"/>
      <c r="AC84" s="238"/>
      <c r="AD84" s="238"/>
      <c r="AE84" s="238" t="s">
        <v>675</v>
      </c>
      <c r="AF84" s="238" t="s">
        <v>715</v>
      </c>
      <c r="AG84" s="238" t="s">
        <v>755</v>
      </c>
      <c r="AH84" s="238" t="s">
        <v>675</v>
      </c>
      <c r="AI84" s="48"/>
      <c r="AJ84" s="48"/>
      <c r="AK84" s="48"/>
      <c r="AL84" s="48"/>
    </row>
    <row r="85" spans="1:38" s="263" customFormat="1">
      <c r="A85" s="243">
        <v>140</v>
      </c>
      <c r="B85" s="237" t="s">
        <v>110</v>
      </c>
      <c r="C85" s="237" t="s">
        <v>200</v>
      </c>
      <c r="D85" s="237" t="s">
        <v>200</v>
      </c>
      <c r="E85" s="237" t="s">
        <v>200</v>
      </c>
      <c r="F85" s="237" t="s">
        <v>200</v>
      </c>
      <c r="G85" s="252" t="s">
        <v>834</v>
      </c>
      <c r="H85" s="238" t="s">
        <v>200</v>
      </c>
      <c r="I85" s="237" t="s">
        <v>801</v>
      </c>
      <c r="J85" s="237">
        <v>1</v>
      </c>
      <c r="K85" s="237" t="s">
        <v>727</v>
      </c>
      <c r="L85" s="238" t="s">
        <v>200</v>
      </c>
      <c r="M85" s="237" t="s">
        <v>675</v>
      </c>
      <c r="N85" s="237"/>
      <c r="O85" s="237" t="s">
        <v>254</v>
      </c>
      <c r="P85" s="237" t="s">
        <v>756</v>
      </c>
      <c r="Q85" s="237" t="s">
        <v>757</v>
      </c>
      <c r="R85" s="237" t="s">
        <v>758</v>
      </c>
      <c r="S85" s="237" t="s">
        <v>759</v>
      </c>
      <c r="T85" s="237" t="s">
        <v>73</v>
      </c>
      <c r="U85" s="237" t="s">
        <v>760</v>
      </c>
      <c r="V85" s="237" t="s">
        <v>200</v>
      </c>
      <c r="W85" s="239"/>
      <c r="X85" s="245"/>
      <c r="Y85" s="245"/>
      <c r="Z85" s="237"/>
      <c r="AA85" s="241"/>
      <c r="AB85" s="237"/>
      <c r="AC85" s="238"/>
      <c r="AD85" s="238"/>
      <c r="AE85" s="238">
        <v>220421</v>
      </c>
      <c r="AF85" s="238" t="s">
        <v>715</v>
      </c>
      <c r="AG85" s="238" t="s">
        <v>761</v>
      </c>
      <c r="AH85" s="238">
        <v>220421</v>
      </c>
      <c r="AI85" s="48"/>
      <c r="AJ85" s="48"/>
      <c r="AK85" s="48"/>
      <c r="AL85" s="48"/>
    </row>
    <row r="86" spans="1:38" s="263" customFormat="1">
      <c r="A86" s="236">
        <v>106</v>
      </c>
      <c r="B86" s="237" t="s">
        <v>110</v>
      </c>
      <c r="C86" s="237" t="s">
        <v>200</v>
      </c>
      <c r="D86" s="237" t="s">
        <v>200</v>
      </c>
      <c r="E86" s="237" t="s">
        <v>200</v>
      </c>
      <c r="F86" s="237" t="s">
        <v>200</v>
      </c>
      <c r="G86" s="252" t="s">
        <v>834</v>
      </c>
      <c r="H86" s="238" t="s">
        <v>200</v>
      </c>
      <c r="I86" s="237" t="s">
        <v>801</v>
      </c>
      <c r="J86" s="237">
        <v>1</v>
      </c>
      <c r="K86" s="237" t="s">
        <v>63</v>
      </c>
      <c r="L86" s="238" t="s">
        <v>200</v>
      </c>
      <c r="M86" s="237" t="s">
        <v>762</v>
      </c>
      <c r="N86" s="237" t="s">
        <v>763</v>
      </c>
      <c r="O86" s="237" t="s">
        <v>113</v>
      </c>
      <c r="P86" s="237" t="s">
        <v>271</v>
      </c>
      <c r="Q86" s="237" t="s">
        <v>272</v>
      </c>
      <c r="R86" s="237" t="s">
        <v>273</v>
      </c>
      <c r="S86" s="237" t="s">
        <v>147</v>
      </c>
      <c r="T86" s="237" t="s">
        <v>118</v>
      </c>
      <c r="U86" s="237" t="s">
        <v>258</v>
      </c>
      <c r="V86" s="237" t="s">
        <v>200</v>
      </c>
      <c r="W86" s="240"/>
      <c r="X86" s="240"/>
      <c r="Y86" s="240"/>
      <c r="Z86" s="237"/>
      <c r="AA86" s="237"/>
      <c r="AB86" s="237"/>
      <c r="AC86" s="238"/>
      <c r="AD86" s="238"/>
      <c r="AE86" s="237">
        <v>220902</v>
      </c>
      <c r="AF86" s="237" t="s">
        <v>207</v>
      </c>
      <c r="AG86" s="237" t="s">
        <v>764</v>
      </c>
      <c r="AH86" s="237"/>
      <c r="AI86" s="48"/>
      <c r="AJ86" s="48"/>
      <c r="AK86" s="48"/>
      <c r="AL86" s="48"/>
    </row>
    <row r="87" spans="1:38" s="263" customFormat="1">
      <c r="A87" s="236">
        <v>110</v>
      </c>
      <c r="B87" s="237" t="s">
        <v>110</v>
      </c>
      <c r="C87" s="237" t="s">
        <v>200</v>
      </c>
      <c r="D87" s="237" t="s">
        <v>200</v>
      </c>
      <c r="E87" s="237" t="s">
        <v>200</v>
      </c>
      <c r="F87" s="237" t="s">
        <v>200</v>
      </c>
      <c r="G87" s="252" t="s">
        <v>834</v>
      </c>
      <c r="H87" s="238" t="s">
        <v>200</v>
      </c>
      <c r="I87" s="237" t="s">
        <v>801</v>
      </c>
      <c r="J87" s="237">
        <v>1</v>
      </c>
      <c r="K87" s="237" t="s">
        <v>112</v>
      </c>
      <c r="L87" s="238" t="s">
        <v>200</v>
      </c>
      <c r="M87" s="237" t="s">
        <v>765</v>
      </c>
      <c r="N87" s="237" t="s">
        <v>766</v>
      </c>
      <c r="O87" s="237" t="s">
        <v>113</v>
      </c>
      <c r="P87" s="237" t="s">
        <v>243</v>
      </c>
      <c r="Q87" s="237" t="s">
        <v>244</v>
      </c>
      <c r="R87" s="237" t="s">
        <v>712</v>
      </c>
      <c r="S87" s="237" t="s">
        <v>117</v>
      </c>
      <c r="T87" s="237" t="s">
        <v>118</v>
      </c>
      <c r="U87" s="237" t="s">
        <v>119</v>
      </c>
      <c r="V87" s="237" t="s">
        <v>200</v>
      </c>
      <c r="W87" s="239">
        <v>22500</v>
      </c>
      <c r="X87" s="240">
        <v>22500</v>
      </c>
      <c r="Y87" s="240">
        <v>450</v>
      </c>
      <c r="Z87" s="237"/>
      <c r="AA87" s="241"/>
      <c r="AB87" s="237"/>
      <c r="AC87" s="238"/>
      <c r="AD87" s="238"/>
      <c r="AE87" s="237">
        <v>220425</v>
      </c>
      <c r="AF87" s="237" t="s">
        <v>715</v>
      </c>
      <c r="AG87" s="237" t="s">
        <v>767</v>
      </c>
      <c r="AH87" s="237"/>
      <c r="AI87" s="48"/>
      <c r="AJ87" s="48"/>
      <c r="AK87" s="48"/>
      <c r="AL87" s="48"/>
    </row>
    <row r="88" spans="1:38" s="263" customFormat="1">
      <c r="A88" s="236">
        <v>104</v>
      </c>
      <c r="B88" s="237" t="s">
        <v>110</v>
      </c>
      <c r="C88" s="237" t="s">
        <v>200</v>
      </c>
      <c r="D88" s="237" t="s">
        <v>200</v>
      </c>
      <c r="E88" s="237" t="s">
        <v>200</v>
      </c>
      <c r="F88" s="237" t="s">
        <v>200</v>
      </c>
      <c r="G88" s="252" t="s">
        <v>834</v>
      </c>
      <c r="H88" s="238" t="s">
        <v>200</v>
      </c>
      <c r="I88" s="237" t="s">
        <v>801</v>
      </c>
      <c r="J88" s="237">
        <v>1</v>
      </c>
      <c r="K88" s="237" t="s">
        <v>112</v>
      </c>
      <c r="L88" s="238" t="s">
        <v>200</v>
      </c>
      <c r="M88" s="237" t="s">
        <v>241</v>
      </c>
      <c r="N88" s="236" t="s">
        <v>766</v>
      </c>
      <c r="O88" s="237" t="s">
        <v>113</v>
      </c>
      <c r="P88" s="237" t="s">
        <v>243</v>
      </c>
      <c r="Q88" s="237" t="s">
        <v>244</v>
      </c>
      <c r="R88" s="237" t="s">
        <v>712</v>
      </c>
      <c r="S88" s="237" t="s">
        <v>117</v>
      </c>
      <c r="T88" s="237" t="s">
        <v>118</v>
      </c>
      <c r="U88" s="237" t="s">
        <v>119</v>
      </c>
      <c r="V88" s="237" t="s">
        <v>200</v>
      </c>
      <c r="W88" s="239">
        <v>22500</v>
      </c>
      <c r="X88" s="240">
        <v>22500</v>
      </c>
      <c r="Y88" s="240">
        <v>450</v>
      </c>
      <c r="Z88" s="237"/>
      <c r="AA88" s="241"/>
      <c r="AB88" s="237"/>
      <c r="AC88" s="238"/>
      <c r="AD88" s="238"/>
      <c r="AE88" s="237">
        <v>191218</v>
      </c>
      <c r="AF88" s="237" t="s">
        <v>715</v>
      </c>
      <c r="AG88" s="237" t="s">
        <v>768</v>
      </c>
      <c r="AH88" s="237"/>
      <c r="AI88" s="48"/>
      <c r="AJ88" s="48"/>
      <c r="AK88" s="48"/>
      <c r="AL88" s="48"/>
    </row>
    <row r="89" spans="1:38" s="263" customFormat="1">
      <c r="A89" s="236">
        <v>105</v>
      </c>
      <c r="B89" s="237" t="s">
        <v>110</v>
      </c>
      <c r="C89" s="237" t="s">
        <v>200</v>
      </c>
      <c r="D89" s="237" t="s">
        <v>200</v>
      </c>
      <c r="E89" s="237" t="s">
        <v>200</v>
      </c>
      <c r="F89" s="237" t="s">
        <v>200</v>
      </c>
      <c r="G89" s="252" t="s">
        <v>834</v>
      </c>
      <c r="H89" s="238" t="s">
        <v>200</v>
      </c>
      <c r="I89" s="237" t="s">
        <v>801</v>
      </c>
      <c r="J89" s="237">
        <v>1</v>
      </c>
      <c r="K89" s="237" t="s">
        <v>63</v>
      </c>
      <c r="L89" s="238" t="s">
        <v>200</v>
      </c>
      <c r="M89" s="237" t="s">
        <v>269</v>
      </c>
      <c r="N89" s="237" t="s">
        <v>270</v>
      </c>
      <c r="O89" s="237" t="s">
        <v>113</v>
      </c>
      <c r="P89" s="237" t="s">
        <v>271</v>
      </c>
      <c r="Q89" s="237" t="s">
        <v>272</v>
      </c>
      <c r="R89" s="237" t="s">
        <v>273</v>
      </c>
      <c r="S89" s="237" t="s">
        <v>147</v>
      </c>
      <c r="T89" s="237" t="s">
        <v>118</v>
      </c>
      <c r="U89" s="237" t="s">
        <v>258</v>
      </c>
      <c r="V89" s="237" t="s">
        <v>200</v>
      </c>
      <c r="W89" s="240"/>
      <c r="X89" s="240"/>
      <c r="Y89" s="240"/>
      <c r="Z89" s="237"/>
      <c r="AA89" s="237"/>
      <c r="AB89" s="237"/>
      <c r="AC89" s="238"/>
      <c r="AD89" s="238"/>
      <c r="AE89" s="237">
        <v>220903</v>
      </c>
      <c r="AF89" s="237" t="s">
        <v>715</v>
      </c>
      <c r="AG89" s="237" t="s">
        <v>788</v>
      </c>
      <c r="AH89" s="238"/>
      <c r="AI89" s="48"/>
      <c r="AJ89" s="48"/>
      <c r="AK89" s="48"/>
      <c r="AL89" s="48"/>
    </row>
    <row r="90" spans="1:38">
      <c r="A90" s="247">
        <v>109</v>
      </c>
      <c r="B90" s="248" t="s">
        <v>110</v>
      </c>
      <c r="C90" s="237" t="s">
        <v>200</v>
      </c>
      <c r="D90" s="237" t="s">
        <v>200</v>
      </c>
      <c r="E90" s="237" t="s">
        <v>200</v>
      </c>
      <c r="F90" s="237" t="s">
        <v>200</v>
      </c>
      <c r="G90" s="252" t="s">
        <v>834</v>
      </c>
      <c r="H90" s="238" t="s">
        <v>200</v>
      </c>
      <c r="I90" s="237" t="s">
        <v>801</v>
      </c>
      <c r="J90" s="248">
        <v>1</v>
      </c>
      <c r="K90" s="248" t="s">
        <v>251</v>
      </c>
      <c r="L90" s="238" t="s">
        <v>200</v>
      </c>
      <c r="M90" s="249" t="s">
        <v>789</v>
      </c>
      <c r="N90" s="248"/>
      <c r="O90" s="248" t="s">
        <v>113</v>
      </c>
      <c r="P90" s="248" t="s">
        <v>790</v>
      </c>
      <c r="Q90" s="248" t="s">
        <v>791</v>
      </c>
      <c r="R90" s="248" t="s">
        <v>273</v>
      </c>
      <c r="S90" s="248" t="s">
        <v>66</v>
      </c>
      <c r="T90" s="248" t="s">
        <v>118</v>
      </c>
      <c r="U90" s="248" t="s">
        <v>295</v>
      </c>
      <c r="V90" s="237" t="s">
        <v>200</v>
      </c>
      <c r="W90" s="250"/>
      <c r="X90" s="250"/>
      <c r="Y90" s="250"/>
      <c r="Z90" s="248"/>
      <c r="AA90" s="248"/>
      <c r="AB90" s="248"/>
      <c r="AC90" s="238"/>
      <c r="AD90" s="238"/>
      <c r="AE90" s="248">
        <v>221114</v>
      </c>
      <c r="AF90" s="248" t="s">
        <v>715</v>
      </c>
      <c r="AG90" s="248" t="s">
        <v>792</v>
      </c>
      <c r="AH90" s="238"/>
    </row>
    <row r="91" spans="1:38" s="263" customFormat="1">
      <c r="A91" s="236">
        <v>142</v>
      </c>
      <c r="B91" s="237" t="s">
        <v>110</v>
      </c>
      <c r="C91" s="237" t="s">
        <v>200</v>
      </c>
      <c r="D91" s="237" t="s">
        <v>200</v>
      </c>
      <c r="E91" s="237" t="s">
        <v>200</v>
      </c>
      <c r="F91" s="237" t="s">
        <v>200</v>
      </c>
      <c r="G91" s="252" t="s">
        <v>834</v>
      </c>
      <c r="H91" s="238" t="s">
        <v>200</v>
      </c>
      <c r="I91" s="237" t="s">
        <v>801</v>
      </c>
      <c r="J91" s="237">
        <v>1</v>
      </c>
      <c r="K91" s="237" t="s">
        <v>251</v>
      </c>
      <c r="L91" s="238" t="s">
        <v>200</v>
      </c>
      <c r="M91" s="237" t="s">
        <v>290</v>
      </c>
      <c r="N91" s="237" t="s">
        <v>291</v>
      </c>
      <c r="O91" s="237" t="s">
        <v>254</v>
      </c>
      <c r="P91" s="242" t="s">
        <v>292</v>
      </c>
      <c r="Q91" s="237" t="s">
        <v>293</v>
      </c>
      <c r="R91" s="237" t="s">
        <v>283</v>
      </c>
      <c r="S91" s="237" t="s">
        <v>294</v>
      </c>
      <c r="T91" s="237" t="s">
        <v>73</v>
      </c>
      <c r="U91" s="237" t="s">
        <v>295</v>
      </c>
      <c r="V91" s="237" t="s">
        <v>200</v>
      </c>
      <c r="W91" s="239"/>
      <c r="X91" s="240"/>
      <c r="Y91" s="240"/>
      <c r="Z91" s="237"/>
      <c r="AA91" s="241"/>
      <c r="AB91" s="237"/>
      <c r="AC91" s="238"/>
      <c r="AD91" s="238"/>
      <c r="AE91" s="237">
        <v>221214</v>
      </c>
      <c r="AF91" s="237" t="s">
        <v>207</v>
      </c>
      <c r="AG91" s="237" t="s">
        <v>776</v>
      </c>
      <c r="AH91" s="238"/>
      <c r="AI91" s="48"/>
      <c r="AJ91" s="48"/>
      <c r="AK91" s="48"/>
      <c r="AL91" s="48"/>
    </row>
    <row r="92" spans="1:38" s="263" customFormat="1">
      <c r="A92" s="236">
        <v>143</v>
      </c>
      <c r="B92" s="237" t="s">
        <v>110</v>
      </c>
      <c r="C92" s="237" t="s">
        <v>200</v>
      </c>
      <c r="D92" s="237" t="s">
        <v>200</v>
      </c>
      <c r="E92" s="237" t="s">
        <v>200</v>
      </c>
      <c r="F92" s="237" t="s">
        <v>200</v>
      </c>
      <c r="G92" s="252" t="s">
        <v>834</v>
      </c>
      <c r="H92" s="238" t="s">
        <v>200</v>
      </c>
      <c r="I92" s="237" t="s">
        <v>801</v>
      </c>
      <c r="J92" s="237">
        <v>1</v>
      </c>
      <c r="K92" s="237" t="s">
        <v>251</v>
      </c>
      <c r="L92" s="238" t="s">
        <v>200</v>
      </c>
      <c r="M92" s="237" t="s">
        <v>290</v>
      </c>
      <c r="N92" s="237" t="s">
        <v>660</v>
      </c>
      <c r="O92" s="237" t="s">
        <v>254</v>
      </c>
      <c r="P92" s="242" t="s">
        <v>292</v>
      </c>
      <c r="Q92" s="237" t="s">
        <v>293</v>
      </c>
      <c r="R92" s="237" t="s">
        <v>283</v>
      </c>
      <c r="S92" s="237" t="s">
        <v>294</v>
      </c>
      <c r="T92" s="237" t="s">
        <v>73</v>
      </c>
      <c r="U92" s="237" t="s">
        <v>295</v>
      </c>
      <c r="V92" s="237" t="s">
        <v>200</v>
      </c>
      <c r="W92" s="239"/>
      <c r="X92" s="240"/>
      <c r="Y92" s="240"/>
      <c r="Z92" s="237"/>
      <c r="AA92" s="241"/>
      <c r="AB92" s="237"/>
      <c r="AC92" s="238"/>
      <c r="AD92" s="238"/>
      <c r="AE92" s="237">
        <v>221214</v>
      </c>
      <c r="AF92" s="237" t="s">
        <v>207</v>
      </c>
      <c r="AG92" s="237" t="s">
        <v>776</v>
      </c>
      <c r="AH92" s="238"/>
      <c r="AI92" s="48"/>
      <c r="AJ92" s="48"/>
      <c r="AK92" s="48"/>
      <c r="AL92" s="48"/>
    </row>
    <row r="93" spans="1:38" s="263" customFormat="1">
      <c r="A93" s="236">
        <v>141</v>
      </c>
      <c r="B93" s="237" t="s">
        <v>110</v>
      </c>
      <c r="C93" s="237" t="s">
        <v>200</v>
      </c>
      <c r="D93" s="237" t="s">
        <v>200</v>
      </c>
      <c r="E93" s="237" t="s">
        <v>200</v>
      </c>
      <c r="F93" s="237" t="s">
        <v>200</v>
      </c>
      <c r="G93" s="252" t="s">
        <v>834</v>
      </c>
      <c r="H93" s="238" t="s">
        <v>200</v>
      </c>
      <c r="I93" s="237" t="s">
        <v>801</v>
      </c>
      <c r="J93" s="237">
        <v>1</v>
      </c>
      <c r="K93" s="237" t="s">
        <v>777</v>
      </c>
      <c r="L93" s="238" t="s">
        <v>200</v>
      </c>
      <c r="M93" s="237" t="s">
        <v>778</v>
      </c>
      <c r="N93" s="237"/>
      <c r="O93" s="237" t="s">
        <v>254</v>
      </c>
      <c r="P93" s="237" t="s">
        <v>779</v>
      </c>
      <c r="Q93" s="237" t="s">
        <v>780</v>
      </c>
      <c r="R93" s="237" t="s">
        <v>781</v>
      </c>
      <c r="S93" s="237" t="s">
        <v>147</v>
      </c>
      <c r="T93" s="237" t="s">
        <v>118</v>
      </c>
      <c r="U93" s="237" t="s">
        <v>258</v>
      </c>
      <c r="V93" s="237" t="s">
        <v>200</v>
      </c>
      <c r="W93" s="239"/>
      <c r="X93" s="240"/>
      <c r="Y93" s="240"/>
      <c r="Z93" s="237"/>
      <c r="AA93" s="241"/>
      <c r="AB93" s="237"/>
      <c r="AC93" s="238"/>
      <c r="AD93" s="238"/>
      <c r="AE93" s="237">
        <v>221216</v>
      </c>
      <c r="AF93" s="237" t="s">
        <v>782</v>
      </c>
      <c r="AG93" s="237" t="s">
        <v>783</v>
      </c>
      <c r="AH93" s="238"/>
      <c r="AI93" s="48"/>
      <c r="AJ93" s="48"/>
      <c r="AK93" s="48"/>
      <c r="AL93" s="48"/>
    </row>
    <row r="94" spans="1:38" s="263" customFormat="1">
      <c r="A94" s="236">
        <v>101</v>
      </c>
      <c r="B94" s="237" t="s">
        <v>110</v>
      </c>
      <c r="C94" s="237" t="s">
        <v>200</v>
      </c>
      <c r="D94" s="237" t="s">
        <v>200</v>
      </c>
      <c r="E94" s="237" t="s">
        <v>200</v>
      </c>
      <c r="F94" s="237" t="s">
        <v>200</v>
      </c>
      <c r="G94" s="252" t="s">
        <v>834</v>
      </c>
      <c r="H94" s="238" t="s">
        <v>200</v>
      </c>
      <c r="I94" s="237" t="s">
        <v>801</v>
      </c>
      <c r="J94" s="237">
        <v>1</v>
      </c>
      <c r="K94" s="237" t="s">
        <v>112</v>
      </c>
      <c r="L94" s="238" t="s">
        <v>200</v>
      </c>
      <c r="M94" s="237" t="s">
        <v>784</v>
      </c>
      <c r="N94" s="237" t="s">
        <v>785</v>
      </c>
      <c r="O94" s="237" t="s">
        <v>113</v>
      </c>
      <c r="P94" s="237" t="s">
        <v>114</v>
      </c>
      <c r="Q94" s="237" t="s">
        <v>115</v>
      </c>
      <c r="R94" s="237" t="s">
        <v>786</v>
      </c>
      <c r="S94" s="237" t="s">
        <v>117</v>
      </c>
      <c r="T94" s="237" t="s">
        <v>118</v>
      </c>
      <c r="U94" s="237" t="s">
        <v>119</v>
      </c>
      <c r="V94" s="237" t="s">
        <v>200</v>
      </c>
      <c r="W94" s="239">
        <v>43990</v>
      </c>
      <c r="X94" s="240">
        <f>W94*J94</f>
        <v>43990</v>
      </c>
      <c r="Y94" s="240">
        <f>X94/50</f>
        <v>879.8</v>
      </c>
      <c r="Z94" s="237"/>
      <c r="AA94" s="241"/>
      <c r="AB94" s="237"/>
      <c r="AC94" s="238"/>
      <c r="AD94" s="238"/>
      <c r="AE94" s="237">
        <v>221214</v>
      </c>
      <c r="AF94" s="237" t="s">
        <v>715</v>
      </c>
      <c r="AG94" s="237" t="s">
        <v>787</v>
      </c>
      <c r="AH94" s="238"/>
      <c r="AI94" s="48"/>
      <c r="AJ94" s="48"/>
      <c r="AK94" s="48"/>
      <c r="AL94" s="48"/>
    </row>
    <row r="95" spans="1:38" s="263" customFormat="1">
      <c r="A95" s="236">
        <v>145</v>
      </c>
      <c r="B95" s="237" t="s">
        <v>110</v>
      </c>
      <c r="C95" s="237" t="s">
        <v>200</v>
      </c>
      <c r="D95" s="237" t="s">
        <v>200</v>
      </c>
      <c r="E95" s="237" t="s">
        <v>200</v>
      </c>
      <c r="F95" s="237" t="s">
        <v>200</v>
      </c>
      <c r="G95" s="252" t="s">
        <v>834</v>
      </c>
      <c r="H95" s="238" t="s">
        <v>200</v>
      </c>
      <c r="I95" s="237" t="s">
        <v>801</v>
      </c>
      <c r="J95" s="237">
        <v>1</v>
      </c>
      <c r="K95" s="237" t="s">
        <v>63</v>
      </c>
      <c r="L95" s="238" t="s">
        <v>200</v>
      </c>
      <c r="M95" s="237" t="s">
        <v>773</v>
      </c>
      <c r="N95" s="237" t="s">
        <v>774</v>
      </c>
      <c r="O95" s="237" t="s">
        <v>254</v>
      </c>
      <c r="P95" s="242" t="s">
        <v>299</v>
      </c>
      <c r="Q95" s="237"/>
      <c r="R95" s="237" t="s">
        <v>283</v>
      </c>
      <c r="S95" s="237" t="s">
        <v>131</v>
      </c>
      <c r="T95" s="237" t="s">
        <v>118</v>
      </c>
      <c r="U95" s="237" t="s">
        <v>237</v>
      </c>
      <c r="V95" s="237" t="s">
        <v>200</v>
      </c>
      <c r="W95" s="239"/>
      <c r="X95" s="240"/>
      <c r="Y95" s="240"/>
      <c r="Z95" s="237"/>
      <c r="AA95" s="241"/>
      <c r="AB95" s="237"/>
      <c r="AC95" s="238"/>
      <c r="AD95" s="238"/>
      <c r="AE95" s="237">
        <v>221214</v>
      </c>
      <c r="AF95" s="237" t="s">
        <v>775</v>
      </c>
      <c r="AG95" s="237" t="s">
        <v>776</v>
      </c>
      <c r="AH95" s="238"/>
      <c r="AI95" s="48"/>
      <c r="AJ95" s="48"/>
      <c r="AK95" s="48"/>
      <c r="AL95" s="48"/>
    </row>
    <row r="96" spans="1:38" s="263" customFormat="1">
      <c r="A96" s="236">
        <v>103</v>
      </c>
      <c r="B96" s="237" t="s">
        <v>110</v>
      </c>
      <c r="C96" s="237" t="s">
        <v>200</v>
      </c>
      <c r="D96" s="237" t="s">
        <v>200</v>
      </c>
      <c r="E96" s="237" t="s">
        <v>200</v>
      </c>
      <c r="F96" s="237" t="s">
        <v>200</v>
      </c>
      <c r="G96" s="252" t="s">
        <v>834</v>
      </c>
      <c r="H96" s="238" t="s">
        <v>200</v>
      </c>
      <c r="I96" s="237" t="s">
        <v>801</v>
      </c>
      <c r="J96" s="237">
        <v>1</v>
      </c>
      <c r="K96" s="237" t="s">
        <v>63</v>
      </c>
      <c r="L96" s="238" t="s">
        <v>200</v>
      </c>
      <c r="M96" s="237" t="s">
        <v>723</v>
      </c>
      <c r="N96" s="237" t="s">
        <v>769</v>
      </c>
      <c r="O96" s="237" t="s">
        <v>709</v>
      </c>
      <c r="P96" s="237" t="s">
        <v>770</v>
      </c>
      <c r="Q96" s="237" t="s">
        <v>244</v>
      </c>
      <c r="R96" s="237" t="s">
        <v>712</v>
      </c>
      <c r="S96" s="237" t="s">
        <v>147</v>
      </c>
      <c r="T96" s="237" t="s">
        <v>118</v>
      </c>
      <c r="U96" s="237" t="s">
        <v>771</v>
      </c>
      <c r="V96" s="237" t="s">
        <v>200</v>
      </c>
      <c r="W96" s="239">
        <v>30000</v>
      </c>
      <c r="X96" s="240">
        <f>W96*J96</f>
        <v>30000</v>
      </c>
      <c r="Y96" s="240">
        <f>X96/50</f>
        <v>600</v>
      </c>
      <c r="Z96" s="237"/>
      <c r="AA96" s="241"/>
      <c r="AB96" s="237"/>
      <c r="AC96" s="238"/>
      <c r="AD96" s="238"/>
      <c r="AE96" s="237">
        <v>221114</v>
      </c>
      <c r="AF96" s="237" t="s">
        <v>715</v>
      </c>
      <c r="AG96" s="237" t="s">
        <v>772</v>
      </c>
      <c r="AH96" s="238"/>
      <c r="AI96" s="48"/>
      <c r="AJ96" s="48"/>
      <c r="AK96" s="48"/>
      <c r="AL96" s="48"/>
    </row>
    <row r="97" spans="1:38" s="263" customFormat="1">
      <c r="A97" s="243">
        <v>108</v>
      </c>
      <c r="B97" s="238" t="s">
        <v>717</v>
      </c>
      <c r="C97" s="237" t="s">
        <v>200</v>
      </c>
      <c r="D97" s="237" t="s">
        <v>200</v>
      </c>
      <c r="E97" s="237" t="s">
        <v>200</v>
      </c>
      <c r="F97" s="237" t="s">
        <v>200</v>
      </c>
      <c r="G97" s="252" t="s">
        <v>834</v>
      </c>
      <c r="H97" s="238" t="s">
        <v>200</v>
      </c>
      <c r="I97" s="237" t="s">
        <v>801</v>
      </c>
      <c r="J97" s="238">
        <v>1</v>
      </c>
      <c r="K97" s="238" t="s">
        <v>251</v>
      </c>
      <c r="L97" s="238" t="s">
        <v>200</v>
      </c>
      <c r="M97" s="238" t="s">
        <v>718</v>
      </c>
      <c r="N97" s="238" t="s">
        <v>719</v>
      </c>
      <c r="O97" s="238" t="s">
        <v>709</v>
      </c>
      <c r="P97" s="238" t="s">
        <v>720</v>
      </c>
      <c r="Q97" s="238" t="s">
        <v>711</v>
      </c>
      <c r="R97" s="238" t="s">
        <v>712</v>
      </c>
      <c r="S97" s="238" t="s">
        <v>117</v>
      </c>
      <c r="T97" s="238" t="s">
        <v>118</v>
      </c>
      <c r="U97" s="238" t="s">
        <v>721</v>
      </c>
      <c r="V97" s="237" t="s">
        <v>200</v>
      </c>
      <c r="W97" s="244">
        <v>14000</v>
      </c>
      <c r="X97" s="245">
        <f>W97*J97</f>
        <v>14000</v>
      </c>
      <c r="Y97" s="245">
        <f>X97/50</f>
        <v>280</v>
      </c>
      <c r="Z97" s="238"/>
      <c r="AA97" s="246"/>
      <c r="AB97" s="238"/>
      <c r="AC97" s="238"/>
      <c r="AD97" s="238"/>
      <c r="AE97" s="238">
        <v>221011</v>
      </c>
      <c r="AF97" s="238" t="s">
        <v>715</v>
      </c>
      <c r="AG97" s="238" t="s">
        <v>722</v>
      </c>
      <c r="AH97" s="238">
        <v>221011</v>
      </c>
      <c r="AI97" s="48"/>
      <c r="AJ97" s="48"/>
      <c r="AK97" s="48"/>
      <c r="AL97" s="48"/>
    </row>
    <row r="98" spans="1:38" s="263" customFormat="1" ht="15">
      <c r="A98" s="271">
        <v>9025</v>
      </c>
      <c r="B98" s="272" t="s">
        <v>1033</v>
      </c>
      <c r="C98" s="272"/>
      <c r="D98" s="263" t="s">
        <v>200</v>
      </c>
      <c r="E98" s="272"/>
      <c r="F98" s="263" t="s">
        <v>200</v>
      </c>
      <c r="G98" s="263" t="s">
        <v>834</v>
      </c>
      <c r="H98" s="263" t="s">
        <v>200</v>
      </c>
      <c r="I98" s="272" t="s">
        <v>801</v>
      </c>
      <c r="J98" s="263">
        <v>1</v>
      </c>
      <c r="K98" s="272" t="s">
        <v>151</v>
      </c>
      <c r="L98" s="272"/>
      <c r="M98" s="272"/>
      <c r="N98" s="272"/>
      <c r="O98" s="272"/>
      <c r="P98" s="272"/>
      <c r="Q98" s="272"/>
      <c r="R98" s="272"/>
      <c r="S98" s="272"/>
      <c r="T98" s="272"/>
      <c r="V98" s="272" t="s">
        <v>200</v>
      </c>
      <c r="W98" s="272" t="s">
        <v>200</v>
      </c>
      <c r="X98" s="272" t="s">
        <v>200</v>
      </c>
      <c r="Y98" s="272"/>
      <c r="Z98" s="272"/>
      <c r="AA98" s="272"/>
      <c r="AE98" s="272" t="s">
        <v>675</v>
      </c>
      <c r="AF98" s="272" t="s">
        <v>782</v>
      </c>
      <c r="AG98" s="272" t="s">
        <v>985</v>
      </c>
      <c r="AI98" s="48"/>
      <c r="AJ98" s="48"/>
      <c r="AK98" s="48"/>
      <c r="AL98" s="48"/>
    </row>
    <row r="99" spans="1:38" s="263" customFormat="1" ht="15">
      <c r="A99" s="271">
        <v>9026</v>
      </c>
      <c r="B99" s="272" t="s">
        <v>1033</v>
      </c>
      <c r="C99" s="272"/>
      <c r="D99" s="263" t="s">
        <v>200</v>
      </c>
      <c r="E99" s="272"/>
      <c r="F99" s="263" t="s">
        <v>200</v>
      </c>
      <c r="G99" s="263" t="s">
        <v>834</v>
      </c>
      <c r="H99" s="263" t="s">
        <v>200</v>
      </c>
      <c r="I99" s="272" t="s">
        <v>801</v>
      </c>
      <c r="J99" s="263">
        <v>1</v>
      </c>
      <c r="K99" s="272" t="s">
        <v>63</v>
      </c>
      <c r="L99" s="272" t="s">
        <v>1034</v>
      </c>
      <c r="M99" s="272"/>
      <c r="N99" s="272"/>
      <c r="O99" s="272"/>
      <c r="P99" s="272"/>
      <c r="Q99" s="272"/>
      <c r="R99" s="272"/>
      <c r="S99" s="272"/>
      <c r="T99" s="272"/>
      <c r="V99" s="272" t="s">
        <v>200</v>
      </c>
      <c r="W99" s="272" t="s">
        <v>200</v>
      </c>
      <c r="X99" s="272" t="s">
        <v>200</v>
      </c>
      <c r="Y99" s="272"/>
      <c r="Z99" s="272"/>
      <c r="AA99" s="272"/>
      <c r="AE99" s="272" t="s">
        <v>675</v>
      </c>
      <c r="AF99" s="272" t="s">
        <v>782</v>
      </c>
      <c r="AG99" s="272" t="s">
        <v>985</v>
      </c>
      <c r="AI99" s="48"/>
      <c r="AJ99" s="48"/>
      <c r="AK99" s="48"/>
      <c r="AL99" s="48"/>
    </row>
    <row r="100" spans="1:38" s="263" customFormat="1" ht="15">
      <c r="A100" s="271">
        <v>9027</v>
      </c>
      <c r="B100" s="272" t="s">
        <v>1033</v>
      </c>
      <c r="C100" s="272"/>
      <c r="D100" s="263" t="s">
        <v>200</v>
      </c>
      <c r="E100" s="272"/>
      <c r="F100" s="263" t="s">
        <v>200</v>
      </c>
      <c r="G100" s="263" t="s">
        <v>834</v>
      </c>
      <c r="H100" s="263" t="s">
        <v>200</v>
      </c>
      <c r="I100" s="272" t="s">
        <v>801</v>
      </c>
      <c r="J100" s="263">
        <v>1</v>
      </c>
      <c r="K100" s="272" t="s">
        <v>251</v>
      </c>
      <c r="L100" s="272" t="s">
        <v>1035</v>
      </c>
      <c r="M100" s="272"/>
      <c r="N100" s="272"/>
      <c r="O100" s="272"/>
      <c r="P100" s="272"/>
      <c r="Q100" s="272"/>
      <c r="R100" s="272"/>
      <c r="S100" s="272"/>
      <c r="T100" s="272"/>
      <c r="V100" s="272" t="s">
        <v>200</v>
      </c>
      <c r="W100" s="272" t="s">
        <v>200</v>
      </c>
      <c r="X100" s="272" t="s">
        <v>200</v>
      </c>
      <c r="Y100" s="272"/>
      <c r="Z100" s="272"/>
      <c r="AA100" s="272"/>
      <c r="AE100" s="272" t="s">
        <v>675</v>
      </c>
      <c r="AF100" s="272" t="s">
        <v>782</v>
      </c>
      <c r="AG100" s="272" t="s">
        <v>985</v>
      </c>
      <c r="AI100" s="48"/>
      <c r="AJ100" s="48"/>
      <c r="AK100" s="48"/>
      <c r="AL100" s="48"/>
    </row>
    <row r="101" spans="1:38" s="263" customFormat="1" ht="15">
      <c r="A101" s="271">
        <v>9028</v>
      </c>
      <c r="B101" s="272" t="s">
        <v>1033</v>
      </c>
      <c r="C101" s="272"/>
      <c r="D101" s="263" t="s">
        <v>200</v>
      </c>
      <c r="E101" s="272"/>
      <c r="F101" s="263" t="s">
        <v>200</v>
      </c>
      <c r="G101" s="263" t="s">
        <v>834</v>
      </c>
      <c r="H101" s="263" t="s">
        <v>200</v>
      </c>
      <c r="I101" s="272" t="s">
        <v>801</v>
      </c>
      <c r="J101" s="263">
        <v>1</v>
      </c>
      <c r="K101" s="272" t="s">
        <v>63</v>
      </c>
      <c r="L101" s="272" t="s">
        <v>1036</v>
      </c>
      <c r="M101" s="272"/>
      <c r="N101" s="272"/>
      <c r="O101" s="272"/>
      <c r="P101" s="272"/>
      <c r="Q101" s="272"/>
      <c r="R101" s="272"/>
      <c r="S101" s="272"/>
      <c r="T101" s="272"/>
      <c r="V101" s="272" t="s">
        <v>200</v>
      </c>
      <c r="W101" s="272" t="s">
        <v>200</v>
      </c>
      <c r="X101" s="272" t="s">
        <v>200</v>
      </c>
      <c r="Y101" s="272"/>
      <c r="Z101" s="272"/>
      <c r="AA101" s="272"/>
      <c r="AE101" s="272" t="s">
        <v>675</v>
      </c>
      <c r="AF101" s="272" t="s">
        <v>782</v>
      </c>
      <c r="AG101" s="272" t="s">
        <v>985</v>
      </c>
      <c r="AI101" s="48"/>
      <c r="AJ101" s="48"/>
      <c r="AK101" s="48"/>
      <c r="AL101" s="48"/>
    </row>
    <row r="102" spans="1:38" s="263" customFormat="1" ht="15">
      <c r="A102" s="271">
        <v>9037</v>
      </c>
      <c r="B102" s="273" t="s">
        <v>1033</v>
      </c>
      <c r="C102" s="273"/>
      <c r="D102" s="263" t="s">
        <v>200</v>
      </c>
      <c r="E102" s="272"/>
      <c r="F102" s="263" t="s">
        <v>200</v>
      </c>
      <c r="G102" s="263" t="s">
        <v>834</v>
      </c>
      <c r="H102" s="263" t="s">
        <v>200</v>
      </c>
      <c r="I102" s="272" t="s">
        <v>801</v>
      </c>
      <c r="J102" s="263">
        <v>1</v>
      </c>
      <c r="K102" s="273" t="s">
        <v>63</v>
      </c>
      <c r="L102" s="273" t="s">
        <v>1037</v>
      </c>
      <c r="M102" s="273"/>
      <c r="N102" s="273"/>
      <c r="O102" s="273"/>
      <c r="P102" s="273"/>
      <c r="Q102" s="273"/>
      <c r="R102" s="273"/>
      <c r="S102" s="273"/>
      <c r="T102" s="273"/>
      <c r="V102" s="272" t="s">
        <v>200</v>
      </c>
      <c r="W102" s="272" t="s">
        <v>200</v>
      </c>
      <c r="X102" s="272" t="s">
        <v>200</v>
      </c>
      <c r="Y102" s="273"/>
      <c r="Z102" s="294"/>
      <c r="AA102" s="273"/>
      <c r="AE102" s="272">
        <v>221003</v>
      </c>
      <c r="AF102" s="272" t="s">
        <v>782</v>
      </c>
      <c r="AG102" s="272" t="s">
        <v>823</v>
      </c>
      <c r="AI102" s="48"/>
      <c r="AJ102" s="48"/>
      <c r="AK102" s="48"/>
      <c r="AL102" s="48"/>
    </row>
    <row r="103" spans="1:38" s="263" customFormat="1">
      <c r="A103" s="237">
        <v>612</v>
      </c>
      <c r="B103" s="260" t="s">
        <v>36</v>
      </c>
      <c r="C103" s="237" t="s">
        <v>200</v>
      </c>
      <c r="D103" s="237" t="s">
        <v>200</v>
      </c>
      <c r="E103" s="237" t="s">
        <v>200</v>
      </c>
      <c r="F103" s="237" t="s">
        <v>200</v>
      </c>
      <c r="G103" s="252" t="s">
        <v>834</v>
      </c>
      <c r="H103" s="238" t="s">
        <v>200</v>
      </c>
      <c r="I103" s="237" t="s">
        <v>801</v>
      </c>
      <c r="J103" s="237">
        <v>1</v>
      </c>
      <c r="K103" s="237" t="s">
        <v>164</v>
      </c>
      <c r="L103" s="238" t="s">
        <v>200</v>
      </c>
      <c r="M103" s="237" t="s">
        <v>835</v>
      </c>
      <c r="N103" s="237"/>
      <c r="O103" s="237" t="s">
        <v>46</v>
      </c>
      <c r="P103" s="237"/>
      <c r="Q103" s="237"/>
      <c r="R103" s="237"/>
      <c r="S103" s="237"/>
      <c r="T103" s="237"/>
      <c r="U103" s="237"/>
      <c r="V103" s="237" t="s">
        <v>200</v>
      </c>
      <c r="W103" s="239">
        <v>3500</v>
      </c>
      <c r="X103" s="240">
        <v>3500</v>
      </c>
      <c r="Y103" s="240">
        <v>70</v>
      </c>
      <c r="Z103" s="237"/>
      <c r="AA103" s="241"/>
      <c r="AB103" s="237"/>
      <c r="AC103" s="238"/>
      <c r="AD103" s="238"/>
      <c r="AE103" s="237">
        <v>191125</v>
      </c>
      <c r="AF103" s="237" t="s">
        <v>715</v>
      </c>
      <c r="AG103" s="237" t="s">
        <v>836</v>
      </c>
      <c r="AH103" s="238"/>
      <c r="AI103" s="48"/>
      <c r="AJ103" s="48"/>
      <c r="AK103" s="48"/>
      <c r="AL103" s="48"/>
    </row>
    <row r="104" spans="1:38" s="263" customFormat="1">
      <c r="A104" s="237">
        <v>600</v>
      </c>
      <c r="B104" s="237" t="s">
        <v>36</v>
      </c>
      <c r="C104" s="237" t="s">
        <v>200</v>
      </c>
      <c r="D104" s="237" t="s">
        <v>200</v>
      </c>
      <c r="E104" s="237" t="s">
        <v>200</v>
      </c>
      <c r="F104" s="237" t="s">
        <v>200</v>
      </c>
      <c r="G104" s="252" t="s">
        <v>834</v>
      </c>
      <c r="H104" s="238" t="s">
        <v>200</v>
      </c>
      <c r="I104" s="237" t="s">
        <v>801</v>
      </c>
      <c r="J104" s="237">
        <v>1</v>
      </c>
      <c r="K104" s="237" t="s">
        <v>151</v>
      </c>
      <c r="L104" s="238" t="s">
        <v>200</v>
      </c>
      <c r="M104" s="237" t="s">
        <v>837</v>
      </c>
      <c r="N104" s="237" t="s">
        <v>838</v>
      </c>
      <c r="O104" s="237" t="s">
        <v>46</v>
      </c>
      <c r="P104" s="237"/>
      <c r="Q104" s="237"/>
      <c r="R104" s="237"/>
      <c r="S104" s="237"/>
      <c r="T104" s="237"/>
      <c r="U104" s="237"/>
      <c r="V104" s="237" t="s">
        <v>200</v>
      </c>
      <c r="W104" s="239">
        <v>3000</v>
      </c>
      <c r="X104" s="240">
        <v>3000</v>
      </c>
      <c r="Y104" s="240">
        <v>60</v>
      </c>
      <c r="Z104" s="237"/>
      <c r="AA104" s="241"/>
      <c r="AB104" s="237"/>
      <c r="AC104" s="238"/>
      <c r="AD104" s="238"/>
      <c r="AE104" s="237" t="s">
        <v>675</v>
      </c>
      <c r="AF104" s="237" t="s">
        <v>715</v>
      </c>
      <c r="AG104" s="237" t="s">
        <v>839</v>
      </c>
      <c r="AH104" s="238"/>
      <c r="AI104" s="48"/>
      <c r="AJ104" s="48"/>
      <c r="AK104" s="48"/>
      <c r="AL104" s="48"/>
    </row>
    <row r="105" spans="1:38" s="263" customFormat="1">
      <c r="A105" s="237">
        <v>628</v>
      </c>
      <c r="B105" s="237" t="s">
        <v>36</v>
      </c>
      <c r="C105" s="237" t="s">
        <v>200</v>
      </c>
      <c r="D105" s="237" t="s">
        <v>200</v>
      </c>
      <c r="E105" s="237" t="s">
        <v>200</v>
      </c>
      <c r="F105" s="237" t="s">
        <v>200</v>
      </c>
      <c r="G105" s="252" t="s">
        <v>834</v>
      </c>
      <c r="H105" s="238" t="s">
        <v>200</v>
      </c>
      <c r="I105" s="237" t="s">
        <v>801</v>
      </c>
      <c r="J105" s="237">
        <v>1</v>
      </c>
      <c r="K105" s="237" t="s">
        <v>164</v>
      </c>
      <c r="L105" s="238" t="s">
        <v>200</v>
      </c>
      <c r="M105" s="237" t="s">
        <v>840</v>
      </c>
      <c r="N105" s="237" t="s">
        <v>841</v>
      </c>
      <c r="O105" s="237" t="s">
        <v>153</v>
      </c>
      <c r="P105" s="237"/>
      <c r="Q105" s="237"/>
      <c r="R105" s="237"/>
      <c r="S105" s="237"/>
      <c r="T105" s="237"/>
      <c r="U105" s="237"/>
      <c r="V105" s="237" t="s">
        <v>200</v>
      </c>
      <c r="W105" s="239">
        <v>3600</v>
      </c>
      <c r="X105" s="240">
        <v>3600</v>
      </c>
      <c r="Y105" s="240">
        <v>72</v>
      </c>
      <c r="Z105" s="237"/>
      <c r="AA105" s="241"/>
      <c r="AB105" s="237"/>
      <c r="AC105" s="238"/>
      <c r="AD105" s="238"/>
      <c r="AE105" s="237">
        <v>200315</v>
      </c>
      <c r="AF105" s="237" t="s">
        <v>715</v>
      </c>
      <c r="AG105" s="237" t="s">
        <v>842</v>
      </c>
      <c r="AH105" s="238"/>
      <c r="AI105" s="48"/>
      <c r="AJ105" s="48"/>
      <c r="AK105" s="48"/>
      <c r="AL105" s="48"/>
    </row>
    <row r="106" spans="1:38" s="263" customFormat="1">
      <c r="A106" s="237">
        <v>607</v>
      </c>
      <c r="B106" s="237" t="s">
        <v>36</v>
      </c>
      <c r="C106" s="237" t="s">
        <v>200</v>
      </c>
      <c r="D106" s="237" t="s">
        <v>200</v>
      </c>
      <c r="E106" s="237" t="s">
        <v>200</v>
      </c>
      <c r="F106" s="237" t="s">
        <v>200</v>
      </c>
      <c r="G106" s="252" t="s">
        <v>834</v>
      </c>
      <c r="H106" s="238" t="s">
        <v>200</v>
      </c>
      <c r="I106" s="237" t="s">
        <v>801</v>
      </c>
      <c r="J106" s="237">
        <v>1</v>
      </c>
      <c r="K106" s="237" t="s">
        <v>44</v>
      </c>
      <c r="L106" s="238" t="s">
        <v>200</v>
      </c>
      <c r="M106" s="237" t="s">
        <v>843</v>
      </c>
      <c r="N106" s="237"/>
      <c r="O106" s="237" t="s">
        <v>46</v>
      </c>
      <c r="P106" s="237"/>
      <c r="Q106" s="237"/>
      <c r="R106" s="237"/>
      <c r="S106" s="237"/>
      <c r="T106" s="237"/>
      <c r="U106" s="237"/>
      <c r="V106" s="237" t="s">
        <v>200</v>
      </c>
      <c r="W106" s="239">
        <v>5000</v>
      </c>
      <c r="X106" s="240">
        <v>5000</v>
      </c>
      <c r="Y106" s="240">
        <v>100</v>
      </c>
      <c r="Z106" s="237"/>
      <c r="AA106" s="241"/>
      <c r="AB106" s="237"/>
      <c r="AC106" s="238"/>
      <c r="AD106" s="238"/>
      <c r="AE106" s="237">
        <v>191219</v>
      </c>
      <c r="AF106" s="237" t="s">
        <v>715</v>
      </c>
      <c r="AG106" s="237" t="s">
        <v>844</v>
      </c>
      <c r="AH106" s="238"/>
      <c r="AI106" s="48"/>
      <c r="AJ106" s="48"/>
      <c r="AK106" s="48"/>
      <c r="AL106" s="48"/>
    </row>
    <row r="107" spans="1:38" s="229" customFormat="1">
      <c r="A107" s="237">
        <v>622</v>
      </c>
      <c r="B107" s="237" t="s">
        <v>36</v>
      </c>
      <c r="C107" s="237" t="s">
        <v>200</v>
      </c>
      <c r="D107" s="237" t="s">
        <v>200</v>
      </c>
      <c r="E107" s="237" t="s">
        <v>200</v>
      </c>
      <c r="F107" s="237" t="s">
        <v>200</v>
      </c>
      <c r="G107" s="252" t="s">
        <v>834</v>
      </c>
      <c r="H107" s="238" t="s">
        <v>200</v>
      </c>
      <c r="I107" s="237" t="s">
        <v>801</v>
      </c>
      <c r="J107" s="237">
        <v>1</v>
      </c>
      <c r="K107" s="237" t="s">
        <v>151</v>
      </c>
      <c r="L107" s="238" t="s">
        <v>200</v>
      </c>
      <c r="M107" s="237" t="s">
        <v>152</v>
      </c>
      <c r="N107" s="237"/>
      <c r="O107" s="237" t="s">
        <v>153</v>
      </c>
      <c r="P107" s="237"/>
      <c r="Q107" s="237"/>
      <c r="R107" s="237"/>
      <c r="S107" s="237"/>
      <c r="T107" s="237"/>
      <c r="U107" s="237"/>
      <c r="V107" s="237" t="s">
        <v>200</v>
      </c>
      <c r="W107" s="239">
        <v>1000</v>
      </c>
      <c r="X107" s="240">
        <v>1000</v>
      </c>
      <c r="Y107" s="240">
        <v>20</v>
      </c>
      <c r="Z107" s="237"/>
      <c r="AA107" s="241"/>
      <c r="AB107" s="237"/>
      <c r="AC107" s="238"/>
      <c r="AD107" s="238"/>
      <c r="AE107" s="237" t="s">
        <v>675</v>
      </c>
      <c r="AF107" s="237" t="s">
        <v>715</v>
      </c>
      <c r="AG107" s="237" t="s">
        <v>845</v>
      </c>
      <c r="AH107" s="238"/>
      <c r="AI107" s="48"/>
      <c r="AJ107" s="48"/>
      <c r="AK107" s="48"/>
      <c r="AL107" s="48"/>
    </row>
    <row r="108" spans="1:38" s="263" customFormat="1">
      <c r="A108" s="237">
        <v>601</v>
      </c>
      <c r="B108" s="237" t="s">
        <v>36</v>
      </c>
      <c r="C108" s="237" t="s">
        <v>200</v>
      </c>
      <c r="D108" s="237" t="s">
        <v>200</v>
      </c>
      <c r="E108" s="237" t="s">
        <v>200</v>
      </c>
      <c r="F108" s="237" t="s">
        <v>200</v>
      </c>
      <c r="G108" s="252" t="s">
        <v>834</v>
      </c>
      <c r="H108" s="238" t="s">
        <v>200</v>
      </c>
      <c r="I108" s="237" t="s">
        <v>801</v>
      </c>
      <c r="J108" s="237">
        <v>1</v>
      </c>
      <c r="K108" s="237" t="s">
        <v>151</v>
      </c>
      <c r="L108" s="238" t="s">
        <v>200</v>
      </c>
      <c r="M108" s="237" t="s">
        <v>837</v>
      </c>
      <c r="N108" s="237" t="s">
        <v>838</v>
      </c>
      <c r="O108" s="237" t="s">
        <v>46</v>
      </c>
      <c r="P108" s="237"/>
      <c r="Q108" s="237"/>
      <c r="R108" s="237"/>
      <c r="S108" s="237"/>
      <c r="T108" s="237"/>
      <c r="U108" s="237"/>
      <c r="V108" s="237" t="s">
        <v>200</v>
      </c>
      <c r="W108" s="239">
        <v>3000</v>
      </c>
      <c r="X108" s="240">
        <v>3000</v>
      </c>
      <c r="Y108" s="240">
        <v>60</v>
      </c>
      <c r="Z108" s="237"/>
      <c r="AA108" s="241"/>
      <c r="AB108" s="237"/>
      <c r="AC108" s="238"/>
      <c r="AD108" s="238"/>
      <c r="AE108" s="237">
        <v>200315</v>
      </c>
      <c r="AF108" s="237" t="s">
        <v>715</v>
      </c>
      <c r="AG108" s="237" t="s">
        <v>815</v>
      </c>
      <c r="AH108" s="238"/>
      <c r="AI108" s="48"/>
      <c r="AJ108" s="48"/>
      <c r="AK108" s="48"/>
      <c r="AL108" s="48"/>
    </row>
    <row r="109" spans="1:38" s="263" customFormat="1">
      <c r="A109" s="237">
        <v>602</v>
      </c>
      <c r="B109" s="237" t="s">
        <v>36</v>
      </c>
      <c r="C109" s="237" t="s">
        <v>200</v>
      </c>
      <c r="D109" s="237" t="s">
        <v>200</v>
      </c>
      <c r="E109" s="237" t="s">
        <v>200</v>
      </c>
      <c r="F109" s="237" t="s">
        <v>200</v>
      </c>
      <c r="G109" s="252" t="s">
        <v>834</v>
      </c>
      <c r="H109" s="238" t="s">
        <v>200</v>
      </c>
      <c r="I109" s="237" t="s">
        <v>801</v>
      </c>
      <c r="J109" s="237">
        <v>1</v>
      </c>
      <c r="K109" s="237" t="s">
        <v>151</v>
      </c>
      <c r="L109" s="238" t="s">
        <v>200</v>
      </c>
      <c r="M109" s="237" t="s">
        <v>846</v>
      </c>
      <c r="N109" s="237"/>
      <c r="O109" s="237" t="s">
        <v>215</v>
      </c>
      <c r="P109" s="237"/>
      <c r="Q109" s="237"/>
      <c r="R109" s="237"/>
      <c r="S109" s="237"/>
      <c r="T109" s="237"/>
      <c r="U109" s="237"/>
      <c r="V109" s="237" t="s">
        <v>200</v>
      </c>
      <c r="W109" s="239">
        <v>3300</v>
      </c>
      <c r="X109" s="240">
        <v>3300</v>
      </c>
      <c r="Y109" s="240">
        <v>66</v>
      </c>
      <c r="Z109" s="237"/>
      <c r="AA109" s="241"/>
      <c r="AB109" s="237"/>
      <c r="AC109" s="238"/>
      <c r="AD109" s="238"/>
      <c r="AE109" s="237" t="s">
        <v>675</v>
      </c>
      <c r="AF109" s="237" t="s">
        <v>715</v>
      </c>
      <c r="AG109" s="237" t="s">
        <v>847</v>
      </c>
      <c r="AH109" s="238"/>
      <c r="AI109" s="48"/>
      <c r="AJ109" s="48"/>
      <c r="AK109" s="48"/>
      <c r="AL109" s="48"/>
    </row>
    <row r="110" spans="1:38" s="263" customFormat="1">
      <c r="A110" s="248">
        <v>609</v>
      </c>
      <c r="B110" s="248" t="s">
        <v>36</v>
      </c>
      <c r="C110" s="237" t="s">
        <v>200</v>
      </c>
      <c r="D110" s="237" t="s">
        <v>200</v>
      </c>
      <c r="E110" s="237" t="s">
        <v>200</v>
      </c>
      <c r="F110" s="237" t="s">
        <v>200</v>
      </c>
      <c r="G110" s="252" t="s">
        <v>834</v>
      </c>
      <c r="H110" s="238" t="s">
        <v>200</v>
      </c>
      <c r="I110" s="237" t="s">
        <v>801</v>
      </c>
      <c r="J110" s="248">
        <v>1</v>
      </c>
      <c r="K110" s="248" t="s">
        <v>37</v>
      </c>
      <c r="L110" s="238" t="s">
        <v>200</v>
      </c>
      <c r="M110" s="248" t="s">
        <v>848</v>
      </c>
      <c r="N110" s="248"/>
      <c r="O110" s="248" t="s">
        <v>40</v>
      </c>
      <c r="P110" s="248"/>
      <c r="Q110" s="248"/>
      <c r="R110" s="248"/>
      <c r="S110" s="248"/>
      <c r="T110" s="248"/>
      <c r="U110" s="248"/>
      <c r="V110" s="237" t="s">
        <v>200</v>
      </c>
      <c r="W110" s="254">
        <v>2500</v>
      </c>
      <c r="X110" s="250">
        <v>2500</v>
      </c>
      <c r="Y110" s="250">
        <v>50</v>
      </c>
      <c r="Z110" s="248"/>
      <c r="AA110" s="255"/>
      <c r="AB110" s="248"/>
      <c r="AC110" s="238"/>
      <c r="AD110" s="238"/>
      <c r="AE110" s="248">
        <v>221017</v>
      </c>
      <c r="AF110" s="249" t="s">
        <v>782</v>
      </c>
      <c r="AG110" s="248" t="s">
        <v>849</v>
      </c>
      <c r="AH110" s="238"/>
      <c r="AI110" s="48"/>
      <c r="AJ110" s="48"/>
      <c r="AK110" s="48"/>
      <c r="AL110" s="48"/>
    </row>
    <row r="111" spans="1:38" s="263" customFormat="1">
      <c r="A111" s="237">
        <v>633</v>
      </c>
      <c r="B111" s="237" t="s">
        <v>36</v>
      </c>
      <c r="C111" s="237" t="s">
        <v>200</v>
      </c>
      <c r="D111" s="237" t="s">
        <v>200</v>
      </c>
      <c r="E111" s="237" t="s">
        <v>200</v>
      </c>
      <c r="F111" s="237" t="s">
        <v>200</v>
      </c>
      <c r="G111" s="252" t="s">
        <v>834</v>
      </c>
      <c r="H111" s="238" t="s">
        <v>200</v>
      </c>
      <c r="I111" s="237" t="s">
        <v>801</v>
      </c>
      <c r="J111" s="237">
        <v>1</v>
      </c>
      <c r="K111" s="237" t="s">
        <v>44</v>
      </c>
      <c r="L111" s="238" t="s">
        <v>200</v>
      </c>
      <c r="M111" s="237" t="s">
        <v>850</v>
      </c>
      <c r="N111" s="237" t="s">
        <v>851</v>
      </c>
      <c r="O111" s="237" t="s">
        <v>852</v>
      </c>
      <c r="P111" s="237"/>
      <c r="Q111" s="237"/>
      <c r="R111" s="237"/>
      <c r="S111" s="237"/>
      <c r="T111" s="237"/>
      <c r="U111" s="237"/>
      <c r="V111" s="237"/>
      <c r="W111" s="239"/>
      <c r="X111" s="240"/>
      <c r="Y111" s="240"/>
      <c r="Z111" s="237"/>
      <c r="AA111" s="241"/>
      <c r="AB111" s="242"/>
      <c r="AC111" s="238"/>
      <c r="AD111" s="238"/>
      <c r="AE111" s="237">
        <v>220425</v>
      </c>
      <c r="AF111" s="237" t="s">
        <v>782</v>
      </c>
      <c r="AG111" s="237" t="s">
        <v>761</v>
      </c>
      <c r="AH111" s="238"/>
      <c r="AI111" s="48"/>
      <c r="AJ111" s="48"/>
      <c r="AK111" s="48"/>
      <c r="AL111" s="48"/>
    </row>
    <row r="112" spans="1:38" s="263" customFormat="1" ht="15">
      <c r="A112" s="272">
        <v>900</v>
      </c>
      <c r="B112" s="272" t="s">
        <v>336</v>
      </c>
      <c r="C112" s="272" t="s">
        <v>200</v>
      </c>
      <c r="D112" s="272" t="s">
        <v>200</v>
      </c>
      <c r="E112" s="272" t="s">
        <v>200</v>
      </c>
      <c r="F112" s="272" t="s">
        <v>200</v>
      </c>
      <c r="G112" s="252" t="s">
        <v>834</v>
      </c>
      <c r="H112" s="272" t="s">
        <v>200</v>
      </c>
      <c r="I112" s="272" t="s">
        <v>801</v>
      </c>
      <c r="J112" s="263">
        <v>1</v>
      </c>
      <c r="K112" s="272" t="s">
        <v>604</v>
      </c>
      <c r="L112" s="263" t="s">
        <v>200</v>
      </c>
      <c r="M112" s="272" t="s">
        <v>937</v>
      </c>
      <c r="N112" s="272"/>
      <c r="O112" s="272"/>
      <c r="P112" s="272"/>
      <c r="Q112" s="272"/>
      <c r="R112" s="272"/>
      <c r="S112" s="272"/>
      <c r="T112" s="272"/>
      <c r="U112" s="272"/>
      <c r="V112" s="272" t="s">
        <v>200</v>
      </c>
      <c r="W112" s="278">
        <v>130</v>
      </c>
      <c r="X112" s="274">
        <v>130</v>
      </c>
      <c r="Y112" s="274">
        <v>2.6</v>
      </c>
      <c r="Z112" s="272"/>
      <c r="AA112" s="272"/>
      <c r="AB112" s="272"/>
      <c r="AE112" s="272">
        <v>210428</v>
      </c>
      <c r="AF112" s="272" t="s">
        <v>207</v>
      </c>
      <c r="AG112" s="272" t="s">
        <v>776</v>
      </c>
      <c r="AI112" s="48"/>
      <c r="AJ112" s="48"/>
      <c r="AK112" s="48"/>
      <c r="AL112" s="48"/>
    </row>
    <row r="113" spans="1:38" s="263" customFormat="1" ht="15">
      <c r="A113" s="272">
        <v>906</v>
      </c>
      <c r="B113" s="272" t="s">
        <v>336</v>
      </c>
      <c r="C113" s="272" t="s">
        <v>200</v>
      </c>
      <c r="D113" s="272" t="s">
        <v>200</v>
      </c>
      <c r="E113" s="272" t="s">
        <v>200</v>
      </c>
      <c r="F113" s="272" t="s">
        <v>200</v>
      </c>
      <c r="G113" s="252" t="s">
        <v>834</v>
      </c>
      <c r="H113" s="272" t="s">
        <v>200</v>
      </c>
      <c r="I113" s="272" t="s">
        <v>801</v>
      </c>
      <c r="J113" s="263">
        <v>1</v>
      </c>
      <c r="K113" s="272" t="s">
        <v>920</v>
      </c>
      <c r="L113" s="263" t="s">
        <v>200</v>
      </c>
      <c r="M113" s="272" t="s">
        <v>938</v>
      </c>
      <c r="N113" s="272"/>
      <c r="O113" s="272"/>
      <c r="P113" s="272"/>
      <c r="Q113" s="272"/>
      <c r="R113" s="272"/>
      <c r="S113" s="272"/>
      <c r="T113" s="272"/>
      <c r="U113" s="272"/>
      <c r="V113" s="272" t="s">
        <v>200</v>
      </c>
      <c r="W113" s="279">
        <v>200</v>
      </c>
      <c r="X113" s="274">
        <v>200</v>
      </c>
      <c r="Y113" s="274">
        <v>4</v>
      </c>
      <c r="Z113" s="272"/>
      <c r="AA113" s="272"/>
      <c r="AB113" s="272"/>
      <c r="AE113" s="272" t="s">
        <v>675</v>
      </c>
      <c r="AF113" s="272" t="s">
        <v>715</v>
      </c>
      <c r="AG113" s="272" t="s">
        <v>918</v>
      </c>
      <c r="AI113" s="48"/>
      <c r="AJ113" s="48"/>
      <c r="AK113" s="48"/>
      <c r="AL113" s="48"/>
    </row>
    <row r="114" spans="1:38" s="263" customFormat="1" ht="15">
      <c r="A114" s="272">
        <v>927</v>
      </c>
      <c r="B114" s="272" t="s">
        <v>336</v>
      </c>
      <c r="C114" s="272" t="s">
        <v>200</v>
      </c>
      <c r="D114" s="272" t="s">
        <v>200</v>
      </c>
      <c r="E114" s="272" t="s">
        <v>200</v>
      </c>
      <c r="F114" s="272" t="s">
        <v>200</v>
      </c>
      <c r="G114" s="252" t="s">
        <v>834</v>
      </c>
      <c r="H114" s="272" t="s">
        <v>200</v>
      </c>
      <c r="I114" s="272" t="s">
        <v>801</v>
      </c>
      <c r="J114" s="263">
        <v>1</v>
      </c>
      <c r="K114" s="272" t="s">
        <v>337</v>
      </c>
      <c r="L114" s="263" t="s">
        <v>200</v>
      </c>
      <c r="M114" s="272" t="s">
        <v>917</v>
      </c>
      <c r="N114" s="271">
        <v>6903384574539</v>
      </c>
      <c r="O114" s="272"/>
      <c r="P114" s="272"/>
      <c r="Q114" s="272"/>
      <c r="R114" s="272"/>
      <c r="S114" s="272"/>
      <c r="T114" s="272"/>
      <c r="U114" s="272"/>
      <c r="V114" s="272" t="s">
        <v>200</v>
      </c>
      <c r="W114" s="278">
        <v>250</v>
      </c>
      <c r="X114" s="274">
        <v>250</v>
      </c>
      <c r="Y114" s="274">
        <v>5</v>
      </c>
      <c r="Z114" s="272"/>
      <c r="AA114" s="272"/>
      <c r="AB114" s="272"/>
      <c r="AE114" s="272">
        <v>220608</v>
      </c>
      <c r="AF114" s="272" t="s">
        <v>715</v>
      </c>
      <c r="AG114" s="272" t="s">
        <v>916</v>
      </c>
      <c r="AI114" s="48"/>
      <c r="AJ114" s="48"/>
      <c r="AK114" s="48"/>
      <c r="AL114" s="48"/>
    </row>
    <row r="115" spans="1:38" s="263" customFormat="1" ht="15">
      <c r="A115" s="272">
        <v>910</v>
      </c>
      <c r="B115" s="272" t="s">
        <v>336</v>
      </c>
      <c r="C115" s="272" t="s">
        <v>200</v>
      </c>
      <c r="D115" s="272" t="s">
        <v>200</v>
      </c>
      <c r="E115" s="272" t="s">
        <v>200</v>
      </c>
      <c r="F115" s="272" t="s">
        <v>200</v>
      </c>
      <c r="G115" s="252" t="s">
        <v>834</v>
      </c>
      <c r="H115" s="272" t="s">
        <v>200</v>
      </c>
      <c r="I115" s="272" t="s">
        <v>801</v>
      </c>
      <c r="J115" s="263">
        <v>1</v>
      </c>
      <c r="K115" s="272" t="s">
        <v>151</v>
      </c>
      <c r="L115" s="263" t="s">
        <v>200</v>
      </c>
      <c r="M115" s="272" t="s">
        <v>915</v>
      </c>
      <c r="N115" s="272"/>
      <c r="O115" s="272"/>
      <c r="P115" s="272"/>
      <c r="Q115" s="272"/>
      <c r="R115" s="272"/>
      <c r="S115" s="272"/>
      <c r="T115" s="272"/>
      <c r="U115" s="272"/>
      <c r="V115" s="272" t="s">
        <v>200</v>
      </c>
      <c r="W115" s="279">
        <v>500</v>
      </c>
      <c r="X115" s="274">
        <v>500</v>
      </c>
      <c r="Y115" s="274">
        <v>10</v>
      </c>
      <c r="Z115" s="272"/>
      <c r="AA115" s="272"/>
      <c r="AB115" s="272"/>
      <c r="AE115" s="272">
        <v>220916</v>
      </c>
      <c r="AF115" s="273" t="s">
        <v>715</v>
      </c>
      <c r="AG115" s="272" t="s">
        <v>914</v>
      </c>
      <c r="AI115" s="48"/>
      <c r="AJ115" s="48"/>
      <c r="AK115" s="48"/>
      <c r="AL115" s="48"/>
    </row>
    <row r="116" spans="1:38" s="263" customFormat="1" ht="15">
      <c r="A116" s="280">
        <v>933</v>
      </c>
      <c r="B116" s="281" t="s">
        <v>336</v>
      </c>
      <c r="C116" s="272" t="s">
        <v>200</v>
      </c>
      <c r="D116" s="272" t="s">
        <v>200</v>
      </c>
      <c r="E116" s="272" t="s">
        <v>200</v>
      </c>
      <c r="F116" s="272" t="s">
        <v>200</v>
      </c>
      <c r="G116" s="252" t="s">
        <v>834</v>
      </c>
      <c r="H116" s="272" t="s">
        <v>200</v>
      </c>
      <c r="I116" s="272" t="s">
        <v>801</v>
      </c>
      <c r="J116" s="263">
        <v>1</v>
      </c>
      <c r="K116" s="281" t="s">
        <v>604</v>
      </c>
      <c r="L116" s="263" t="s">
        <v>200</v>
      </c>
      <c r="M116" s="281" t="s">
        <v>906</v>
      </c>
      <c r="N116" s="281"/>
      <c r="O116" s="281"/>
      <c r="P116" s="281"/>
      <c r="Q116" s="281"/>
      <c r="R116" s="281"/>
      <c r="S116" s="281"/>
      <c r="T116" s="281"/>
      <c r="U116" s="281"/>
      <c r="V116" s="272" t="s">
        <v>200</v>
      </c>
      <c r="W116" s="282"/>
      <c r="X116" s="274"/>
      <c r="Y116" s="274"/>
      <c r="Z116" s="272"/>
      <c r="AA116" s="272"/>
      <c r="AB116" s="272"/>
      <c r="AE116" s="272" t="s">
        <v>675</v>
      </c>
      <c r="AF116" s="272" t="s">
        <v>715</v>
      </c>
      <c r="AG116" s="272" t="s">
        <v>807</v>
      </c>
      <c r="AI116" s="48"/>
      <c r="AJ116" s="48"/>
      <c r="AK116" s="48"/>
      <c r="AL116" s="48"/>
    </row>
    <row r="117" spans="1:38" s="263" customFormat="1" ht="15">
      <c r="A117" s="272">
        <v>926</v>
      </c>
      <c r="B117" s="272" t="s">
        <v>336</v>
      </c>
      <c r="C117" s="272" t="s">
        <v>200</v>
      </c>
      <c r="D117" s="272" t="s">
        <v>200</v>
      </c>
      <c r="E117" s="272" t="s">
        <v>200</v>
      </c>
      <c r="F117" s="272" t="s">
        <v>200</v>
      </c>
      <c r="G117" s="252" t="s">
        <v>834</v>
      </c>
      <c r="H117" s="272" t="s">
        <v>200</v>
      </c>
      <c r="I117" s="272" t="s">
        <v>801</v>
      </c>
      <c r="J117" s="263">
        <v>1</v>
      </c>
      <c r="K117" s="272" t="s">
        <v>604</v>
      </c>
      <c r="L117" s="263" t="s">
        <v>200</v>
      </c>
      <c r="M117" s="272" t="s">
        <v>903</v>
      </c>
      <c r="N117" s="272"/>
      <c r="O117" s="272"/>
      <c r="P117" s="272"/>
      <c r="Q117" s="272"/>
      <c r="R117" s="272"/>
      <c r="S117" s="272"/>
      <c r="T117" s="272"/>
      <c r="U117" s="272"/>
      <c r="V117" s="272" t="s">
        <v>200</v>
      </c>
      <c r="W117" s="278">
        <v>130</v>
      </c>
      <c r="X117" s="274">
        <v>130</v>
      </c>
      <c r="Y117" s="274">
        <v>2.6</v>
      </c>
      <c r="Z117" s="272"/>
      <c r="AA117" s="272"/>
      <c r="AB117" s="272"/>
      <c r="AE117" s="272" t="s">
        <v>675</v>
      </c>
      <c r="AF117" s="272" t="s">
        <v>715</v>
      </c>
      <c r="AG117" s="272" t="s">
        <v>845</v>
      </c>
      <c r="AI117" s="48"/>
      <c r="AJ117" s="48"/>
      <c r="AK117" s="48"/>
      <c r="AL117" s="48"/>
    </row>
    <row r="118" spans="1:38" s="263" customFormat="1" ht="15">
      <c r="A118" s="280">
        <v>935</v>
      </c>
      <c r="B118" s="281" t="s">
        <v>336</v>
      </c>
      <c r="C118" s="272" t="s">
        <v>200</v>
      </c>
      <c r="D118" s="272" t="s">
        <v>200</v>
      </c>
      <c r="E118" s="272" t="s">
        <v>200</v>
      </c>
      <c r="F118" s="272" t="s">
        <v>200</v>
      </c>
      <c r="G118" s="252" t="s">
        <v>834</v>
      </c>
      <c r="H118" s="272" t="s">
        <v>200</v>
      </c>
      <c r="I118" s="272" t="s">
        <v>801</v>
      </c>
      <c r="J118" s="263">
        <v>1</v>
      </c>
      <c r="K118" s="281" t="s">
        <v>899</v>
      </c>
      <c r="L118" s="263" t="s">
        <v>200</v>
      </c>
      <c r="M118" s="281" t="s">
        <v>898</v>
      </c>
      <c r="N118" s="281" t="s">
        <v>897</v>
      </c>
      <c r="O118" s="281"/>
      <c r="P118" s="281"/>
      <c r="Q118" s="281"/>
      <c r="R118" s="281"/>
      <c r="S118" s="281"/>
      <c r="T118" s="281"/>
      <c r="U118" s="281"/>
      <c r="V118" s="272" t="s">
        <v>200</v>
      </c>
      <c r="W118" s="282">
        <v>250</v>
      </c>
      <c r="X118" s="274">
        <v>250</v>
      </c>
      <c r="Y118" s="274">
        <v>5</v>
      </c>
      <c r="Z118" s="281"/>
      <c r="AA118" s="283"/>
      <c r="AB118" s="272"/>
      <c r="AE118" s="272">
        <v>221121</v>
      </c>
      <c r="AF118" s="272" t="s">
        <v>207</v>
      </c>
      <c r="AG118" s="272" t="s">
        <v>896</v>
      </c>
      <c r="AI118" s="48"/>
      <c r="AJ118" s="48"/>
      <c r="AK118" s="48"/>
      <c r="AL118" s="48"/>
    </row>
    <row r="119" spans="1:38" s="263" customFormat="1" ht="15">
      <c r="A119" s="272">
        <v>911</v>
      </c>
      <c r="B119" s="272" t="s">
        <v>336</v>
      </c>
      <c r="C119" s="272" t="s">
        <v>200</v>
      </c>
      <c r="D119" s="272" t="s">
        <v>200</v>
      </c>
      <c r="E119" s="272" t="s">
        <v>200</v>
      </c>
      <c r="F119" s="272" t="s">
        <v>200</v>
      </c>
      <c r="G119" s="252" t="s">
        <v>834</v>
      </c>
      <c r="H119" s="272" t="s">
        <v>200</v>
      </c>
      <c r="I119" s="272" t="s">
        <v>801</v>
      </c>
      <c r="J119" s="263">
        <v>1</v>
      </c>
      <c r="K119" s="272" t="s">
        <v>939</v>
      </c>
      <c r="L119" s="263" t="s">
        <v>200</v>
      </c>
      <c r="M119" s="272" t="s">
        <v>940</v>
      </c>
      <c r="N119" s="272"/>
      <c r="O119" s="272"/>
      <c r="P119" s="272"/>
      <c r="Q119" s="272"/>
      <c r="R119" s="272"/>
      <c r="S119" s="272"/>
      <c r="T119" s="272"/>
      <c r="U119" s="272"/>
      <c r="V119" s="272" t="s">
        <v>200</v>
      </c>
      <c r="W119" s="279">
        <v>100</v>
      </c>
      <c r="X119" s="274">
        <v>100</v>
      </c>
      <c r="Y119" s="274">
        <v>2</v>
      </c>
      <c r="Z119" s="272"/>
      <c r="AA119" s="272"/>
      <c r="AB119" s="272"/>
      <c r="AE119" s="272">
        <v>200317</v>
      </c>
      <c r="AF119" s="272" t="s">
        <v>782</v>
      </c>
      <c r="AG119" s="272" t="s">
        <v>893</v>
      </c>
      <c r="AI119" s="48"/>
      <c r="AJ119" s="48"/>
      <c r="AK119" s="48"/>
      <c r="AL119" s="48"/>
    </row>
    <row r="120" spans="1:38" s="263" customFormat="1" ht="15">
      <c r="A120" s="280">
        <v>932</v>
      </c>
      <c r="B120" s="281" t="s">
        <v>336</v>
      </c>
      <c r="C120" s="272" t="s">
        <v>200</v>
      </c>
      <c r="D120" s="272" t="s">
        <v>200</v>
      </c>
      <c r="E120" s="272" t="s">
        <v>200</v>
      </c>
      <c r="F120" s="272" t="s">
        <v>200</v>
      </c>
      <c r="G120" s="252" t="s">
        <v>834</v>
      </c>
      <c r="H120" s="272" t="s">
        <v>200</v>
      </c>
      <c r="I120" s="272" t="s">
        <v>801</v>
      </c>
      <c r="J120" s="263">
        <v>1</v>
      </c>
      <c r="K120" s="281" t="s">
        <v>151</v>
      </c>
      <c r="L120" s="263" t="s">
        <v>200</v>
      </c>
      <c r="M120" s="281" t="s">
        <v>915</v>
      </c>
      <c r="N120" s="281"/>
      <c r="O120" s="281"/>
      <c r="P120" s="281"/>
      <c r="Q120" s="281"/>
      <c r="R120" s="281"/>
      <c r="S120" s="281"/>
      <c r="T120" s="281"/>
      <c r="U120" s="281"/>
      <c r="V120" s="272" t="s">
        <v>200</v>
      </c>
      <c r="W120" s="282"/>
      <c r="X120" s="274"/>
      <c r="Y120" s="274"/>
      <c r="Z120" s="272"/>
      <c r="AA120" s="272"/>
      <c r="AB120" s="272"/>
      <c r="AE120" s="272">
        <v>221015</v>
      </c>
      <c r="AF120" s="272" t="s">
        <v>782</v>
      </c>
      <c r="AG120" s="272" t="s">
        <v>726</v>
      </c>
      <c r="AI120" s="48"/>
      <c r="AJ120" s="48"/>
      <c r="AK120" s="48"/>
      <c r="AL120" s="48"/>
    </row>
    <row r="121" spans="1:38" s="263" customFormat="1" ht="15">
      <c r="A121" s="280">
        <v>936</v>
      </c>
      <c r="B121" s="281" t="s">
        <v>336</v>
      </c>
      <c r="C121" s="272" t="s">
        <v>200</v>
      </c>
      <c r="D121" s="272" t="s">
        <v>200</v>
      </c>
      <c r="E121" s="272" t="s">
        <v>200</v>
      </c>
      <c r="F121" s="272" t="s">
        <v>200</v>
      </c>
      <c r="G121" s="252" t="s">
        <v>834</v>
      </c>
      <c r="H121" s="272" t="s">
        <v>200</v>
      </c>
      <c r="I121" s="272" t="s">
        <v>801</v>
      </c>
      <c r="J121" s="263">
        <v>1</v>
      </c>
      <c r="K121" s="281" t="s">
        <v>899</v>
      </c>
      <c r="L121" s="263" t="s">
        <v>200</v>
      </c>
      <c r="M121" s="281" t="s">
        <v>898</v>
      </c>
      <c r="N121" s="281"/>
      <c r="O121" s="281"/>
      <c r="P121" s="281"/>
      <c r="Q121" s="281"/>
      <c r="R121" s="281"/>
      <c r="S121" s="281"/>
      <c r="T121" s="281"/>
      <c r="U121" s="281"/>
      <c r="V121" s="272" t="s">
        <v>200</v>
      </c>
      <c r="W121" s="282">
        <v>250</v>
      </c>
      <c r="X121" s="274">
        <v>250</v>
      </c>
      <c r="Y121" s="274">
        <v>5</v>
      </c>
      <c r="Z121" s="281"/>
      <c r="AA121" s="283"/>
      <c r="AB121" s="272"/>
      <c r="AE121" s="272">
        <v>221121</v>
      </c>
      <c r="AF121" s="272" t="s">
        <v>775</v>
      </c>
      <c r="AG121" s="272" t="s">
        <v>941</v>
      </c>
      <c r="AI121" s="48"/>
      <c r="AJ121" s="48"/>
      <c r="AK121" s="48"/>
      <c r="AL121" s="48"/>
    </row>
    <row r="122" spans="1:38" s="263" customFormat="1" ht="15">
      <c r="A122" s="271">
        <v>9000</v>
      </c>
      <c r="B122" s="272" t="s">
        <v>1040</v>
      </c>
      <c r="C122" s="272" t="s">
        <v>200</v>
      </c>
      <c r="D122" s="272" t="s">
        <v>200</v>
      </c>
      <c r="E122" s="272"/>
      <c r="F122" s="272" t="s">
        <v>200</v>
      </c>
      <c r="G122" s="263" t="s">
        <v>834</v>
      </c>
      <c r="H122" s="272" t="s">
        <v>200</v>
      </c>
      <c r="I122" s="272" t="s">
        <v>801</v>
      </c>
      <c r="J122" s="263">
        <v>1</v>
      </c>
      <c r="K122" s="272" t="s">
        <v>1041</v>
      </c>
      <c r="L122" s="272"/>
      <c r="M122" s="272"/>
      <c r="N122" s="272"/>
      <c r="O122" s="272"/>
      <c r="P122" s="272"/>
      <c r="Q122" s="272"/>
      <c r="R122" s="272"/>
      <c r="S122" s="272"/>
      <c r="T122" s="272"/>
      <c r="U122" s="274"/>
      <c r="V122" s="274" t="s">
        <v>34</v>
      </c>
      <c r="W122" s="274"/>
      <c r="X122" s="272"/>
      <c r="Y122" s="272"/>
      <c r="Z122" s="272"/>
      <c r="AE122" s="272" t="s">
        <v>675</v>
      </c>
      <c r="AF122" s="272" t="s">
        <v>782</v>
      </c>
      <c r="AG122" s="272" t="s">
        <v>964</v>
      </c>
      <c r="AI122" s="48"/>
      <c r="AJ122" s="48"/>
      <c r="AK122" s="48"/>
      <c r="AL122" s="48"/>
    </row>
    <row r="123" spans="1:38" s="263" customFormat="1" ht="15">
      <c r="A123" s="271">
        <v>9032</v>
      </c>
      <c r="B123" s="272" t="s">
        <v>1066</v>
      </c>
      <c r="C123" s="272" t="s">
        <v>200</v>
      </c>
      <c r="D123" s="272" t="s">
        <v>200</v>
      </c>
      <c r="E123" s="273" t="s">
        <v>200</v>
      </c>
      <c r="F123" s="272" t="s">
        <v>200</v>
      </c>
      <c r="G123" s="263" t="s">
        <v>834</v>
      </c>
      <c r="H123" s="272" t="s">
        <v>200</v>
      </c>
      <c r="I123" s="272" t="s">
        <v>801</v>
      </c>
      <c r="J123" s="263">
        <v>1</v>
      </c>
      <c r="K123" s="272" t="s">
        <v>1067</v>
      </c>
      <c r="L123" s="272" t="s">
        <v>200</v>
      </c>
      <c r="M123" s="272" t="s">
        <v>1068</v>
      </c>
      <c r="N123" s="272"/>
      <c r="O123" s="272"/>
      <c r="P123" s="272"/>
      <c r="Q123" s="272"/>
      <c r="R123" s="272"/>
      <c r="S123" s="272"/>
      <c r="T123" s="272"/>
      <c r="U123" s="272"/>
      <c r="V123" s="274" t="s">
        <v>34</v>
      </c>
      <c r="W123" s="274">
        <v>2300</v>
      </c>
      <c r="X123" s="274">
        <v>46</v>
      </c>
      <c r="Y123" s="272"/>
      <c r="Z123" s="272"/>
      <c r="AA123" s="272"/>
      <c r="AE123" s="272">
        <v>200220</v>
      </c>
      <c r="AF123" s="272" t="s">
        <v>782</v>
      </c>
      <c r="AG123" s="272" t="s">
        <v>761</v>
      </c>
      <c r="AI123" s="48"/>
      <c r="AJ123" s="48"/>
      <c r="AK123" s="48"/>
      <c r="AL123" s="48"/>
    </row>
    <row r="124" spans="1:38" s="263" customFormat="1" ht="15">
      <c r="A124" s="271">
        <v>9033</v>
      </c>
      <c r="B124" s="272" t="s">
        <v>1066</v>
      </c>
      <c r="C124" s="272" t="s">
        <v>200</v>
      </c>
      <c r="D124" s="272" t="s">
        <v>200</v>
      </c>
      <c r="E124" s="273" t="s">
        <v>200</v>
      </c>
      <c r="F124" s="272" t="s">
        <v>200</v>
      </c>
      <c r="G124" s="263" t="s">
        <v>834</v>
      </c>
      <c r="H124" s="272" t="s">
        <v>200</v>
      </c>
      <c r="I124" s="272" t="s">
        <v>801</v>
      </c>
      <c r="J124" s="263">
        <v>1</v>
      </c>
      <c r="K124" s="273" t="s">
        <v>1069</v>
      </c>
      <c r="L124" s="272" t="s">
        <v>200</v>
      </c>
      <c r="M124" s="273" t="s">
        <v>1070</v>
      </c>
      <c r="N124" s="273"/>
      <c r="O124" s="273"/>
      <c r="P124" s="273"/>
      <c r="Q124" s="273"/>
      <c r="R124" s="273"/>
      <c r="S124" s="273"/>
      <c r="T124" s="273"/>
      <c r="U124" s="273"/>
      <c r="V124" s="274" t="s">
        <v>34</v>
      </c>
      <c r="W124" s="274">
        <v>2300</v>
      </c>
      <c r="X124" s="274">
        <v>46</v>
      </c>
      <c r="Y124" s="273"/>
      <c r="Z124" s="294"/>
      <c r="AA124" s="273"/>
      <c r="AE124" s="272">
        <v>200220</v>
      </c>
      <c r="AF124" s="272" t="s">
        <v>782</v>
      </c>
      <c r="AG124" s="272" t="s">
        <v>761</v>
      </c>
      <c r="AI124" s="48"/>
      <c r="AJ124" s="48"/>
      <c r="AK124" s="48"/>
      <c r="AL124" s="48"/>
    </row>
    <row r="125" spans="1:38" s="263" customFormat="1" ht="15" customHeight="1">
      <c r="A125" s="271" t="str">
        <f>"WR" &amp; TEXT(ROW()-1,"000")</f>
        <v>WR124</v>
      </c>
      <c r="B125" s="272" t="s">
        <v>1051</v>
      </c>
      <c r="C125" s="272" t="s">
        <v>200</v>
      </c>
      <c r="D125" s="272" t="s">
        <v>200</v>
      </c>
      <c r="E125" s="273" t="s">
        <v>200</v>
      </c>
      <c r="F125" s="272" t="s">
        <v>200</v>
      </c>
      <c r="G125" s="263" t="s">
        <v>834</v>
      </c>
      <c r="H125" s="272" t="s">
        <v>200</v>
      </c>
      <c r="I125" s="272" t="s">
        <v>801</v>
      </c>
      <c r="J125" s="263">
        <v>1</v>
      </c>
      <c r="K125" s="272" t="s">
        <v>87</v>
      </c>
      <c r="L125" s="263" t="s">
        <v>200</v>
      </c>
      <c r="M125" s="281" t="s">
        <v>1055</v>
      </c>
      <c r="N125" s="271">
        <v>2224282000516</v>
      </c>
      <c r="O125" s="272"/>
      <c r="P125" s="272"/>
      <c r="Q125" s="272"/>
      <c r="R125" s="272"/>
      <c r="S125" s="272"/>
      <c r="T125" s="272"/>
      <c r="U125" s="272"/>
      <c r="V125" s="274" t="s">
        <v>34</v>
      </c>
      <c r="W125" s="274"/>
      <c r="X125" s="274"/>
      <c r="Y125" s="274"/>
      <c r="Z125" s="272"/>
      <c r="AA125" s="272"/>
      <c r="AB125" s="272"/>
      <c r="AE125" s="272">
        <v>220902</v>
      </c>
      <c r="AF125" s="272" t="s">
        <v>207</v>
      </c>
      <c r="AG125" s="272" t="s">
        <v>776</v>
      </c>
      <c r="AI125" s="48"/>
      <c r="AJ125" s="48"/>
      <c r="AK125" s="48"/>
      <c r="AL125" s="48"/>
    </row>
    <row r="126" spans="1:38" s="263" customFormat="1" ht="15" customHeight="1">
      <c r="A126" s="271" t="str">
        <f>"WR" &amp; TEXT(ROW()-1,"000")</f>
        <v>WR125</v>
      </c>
      <c r="B126" s="272" t="s">
        <v>1051</v>
      </c>
      <c r="C126" s="272" t="s">
        <v>200</v>
      </c>
      <c r="D126" s="272" t="s">
        <v>200</v>
      </c>
      <c r="E126" s="273" t="s">
        <v>200</v>
      </c>
      <c r="F126" s="272" t="s">
        <v>200</v>
      </c>
      <c r="G126" s="263" t="s">
        <v>834</v>
      </c>
      <c r="H126" s="272" t="s">
        <v>200</v>
      </c>
      <c r="I126" s="272" t="s">
        <v>801</v>
      </c>
      <c r="J126" s="263">
        <v>1</v>
      </c>
      <c r="K126" s="272" t="s">
        <v>87</v>
      </c>
      <c r="L126" s="263" t="s">
        <v>200</v>
      </c>
      <c r="M126" s="272" t="s">
        <v>1054</v>
      </c>
      <c r="N126" s="271">
        <v>2223092000740</v>
      </c>
      <c r="O126" s="272"/>
      <c r="P126" s="272"/>
      <c r="Q126" s="272"/>
      <c r="R126" s="272"/>
      <c r="S126" s="272"/>
      <c r="T126" s="272"/>
      <c r="U126" s="272"/>
      <c r="V126" s="274" t="s">
        <v>34</v>
      </c>
      <c r="W126" s="279"/>
      <c r="X126" s="274"/>
      <c r="Y126" s="274"/>
      <c r="Z126" s="272"/>
      <c r="AA126" s="272"/>
      <c r="AB126" s="272"/>
      <c r="AE126" s="272">
        <v>220909</v>
      </c>
      <c r="AF126" s="272" t="s">
        <v>207</v>
      </c>
      <c r="AG126" s="272" t="s">
        <v>1046</v>
      </c>
      <c r="AI126" s="48"/>
      <c r="AJ126" s="48"/>
      <c r="AK126" s="48"/>
      <c r="AL126" s="48"/>
    </row>
    <row r="127" spans="1:38" s="263" customFormat="1" ht="15">
      <c r="A127" s="271" t="str">
        <f>"WR" &amp; TEXT(ROW()-1,"000")</f>
        <v>WR126</v>
      </c>
      <c r="B127" s="272" t="s">
        <v>1051</v>
      </c>
      <c r="C127" s="272" t="s">
        <v>200</v>
      </c>
      <c r="D127" s="272" t="s">
        <v>200</v>
      </c>
      <c r="E127" s="273" t="s">
        <v>200</v>
      </c>
      <c r="F127" s="272" t="s">
        <v>200</v>
      </c>
      <c r="G127" s="263" t="s">
        <v>834</v>
      </c>
      <c r="H127" s="272" t="s">
        <v>200</v>
      </c>
      <c r="I127" s="272" t="s">
        <v>801</v>
      </c>
      <c r="J127" s="263">
        <v>1</v>
      </c>
      <c r="K127" s="272" t="s">
        <v>1050</v>
      </c>
      <c r="L127" s="263" t="s">
        <v>200</v>
      </c>
      <c r="M127" s="272" t="s">
        <v>1053</v>
      </c>
      <c r="N127" s="272" t="s">
        <v>1052</v>
      </c>
      <c r="O127" s="272"/>
      <c r="P127" s="272"/>
      <c r="Q127" s="272"/>
      <c r="R127" s="272"/>
      <c r="S127" s="272"/>
      <c r="T127" s="272"/>
      <c r="U127" s="272"/>
      <c r="V127" s="274" t="s">
        <v>34</v>
      </c>
      <c r="W127" s="274">
        <v>2000</v>
      </c>
      <c r="X127" s="274"/>
      <c r="Y127" s="274"/>
      <c r="Z127" s="272"/>
      <c r="AA127" s="272"/>
      <c r="AB127" s="272"/>
      <c r="AE127" s="272" t="s">
        <v>675</v>
      </c>
      <c r="AF127" s="272" t="s">
        <v>715</v>
      </c>
      <c r="AG127" s="272" t="s">
        <v>1029</v>
      </c>
      <c r="AI127" s="48"/>
      <c r="AJ127" s="48"/>
      <c r="AK127" s="48"/>
      <c r="AL127" s="48"/>
    </row>
    <row r="128" spans="1:38" s="263" customFormat="1" ht="15">
      <c r="A128" s="271" t="str">
        <f>"WR" &amp; TEXT(ROW()-1,"000")</f>
        <v>WR127</v>
      </c>
      <c r="B128" s="272" t="s">
        <v>1051</v>
      </c>
      <c r="C128" s="272" t="s">
        <v>200</v>
      </c>
      <c r="D128" s="272" t="s">
        <v>200</v>
      </c>
      <c r="E128" s="273" t="s">
        <v>200</v>
      </c>
      <c r="F128" s="272" t="s">
        <v>200</v>
      </c>
      <c r="G128" s="263" t="s">
        <v>834</v>
      </c>
      <c r="H128" s="272" t="s">
        <v>200</v>
      </c>
      <c r="I128" s="272" t="s">
        <v>801</v>
      </c>
      <c r="J128" s="263">
        <v>1</v>
      </c>
      <c r="K128" s="272" t="s">
        <v>1050</v>
      </c>
      <c r="L128" s="263" t="s">
        <v>200</v>
      </c>
      <c r="M128" s="272" t="s">
        <v>1049</v>
      </c>
      <c r="N128" s="272" t="s">
        <v>1048</v>
      </c>
      <c r="O128" s="272"/>
      <c r="P128" s="272"/>
      <c r="Q128" s="272"/>
      <c r="R128" s="272"/>
      <c r="S128" s="272"/>
      <c r="T128" s="272"/>
      <c r="U128" s="272"/>
      <c r="V128" s="274" t="s">
        <v>34</v>
      </c>
      <c r="W128" s="274">
        <v>2000</v>
      </c>
      <c r="X128" s="274"/>
      <c r="Y128" s="274"/>
      <c r="Z128" s="272"/>
      <c r="AA128" s="272"/>
      <c r="AB128" s="272"/>
      <c r="AE128" s="272" t="s">
        <v>675</v>
      </c>
      <c r="AF128" s="272" t="s">
        <v>715</v>
      </c>
      <c r="AG128" s="272" t="s">
        <v>1029</v>
      </c>
      <c r="AI128" s="48"/>
      <c r="AJ128" s="48"/>
      <c r="AK128" s="48"/>
      <c r="AL128" s="48"/>
    </row>
    <row r="129" spans="1:38" s="263" customFormat="1" ht="15">
      <c r="A129" s="271">
        <v>1901</v>
      </c>
      <c r="B129" s="272" t="s">
        <v>1051</v>
      </c>
      <c r="C129" s="272" t="s">
        <v>200</v>
      </c>
      <c r="D129" s="272" t="s">
        <v>200</v>
      </c>
      <c r="E129" s="273" t="s">
        <v>200</v>
      </c>
      <c r="F129" s="272" t="s">
        <v>200</v>
      </c>
      <c r="G129" s="263" t="s">
        <v>834</v>
      </c>
      <c r="H129" s="272" t="s">
        <v>200</v>
      </c>
      <c r="I129" s="272" t="s">
        <v>801</v>
      </c>
      <c r="J129" s="263">
        <v>1</v>
      </c>
      <c r="K129" s="272" t="s">
        <v>1056</v>
      </c>
      <c r="L129" s="272" t="s">
        <v>200</v>
      </c>
      <c r="M129" s="272" t="s">
        <v>1057</v>
      </c>
      <c r="N129" s="272"/>
      <c r="O129" s="272"/>
      <c r="P129" s="272"/>
      <c r="Q129" s="272"/>
      <c r="R129" s="272"/>
      <c r="S129" s="272"/>
      <c r="T129" s="272"/>
      <c r="U129" s="272"/>
      <c r="V129" s="274" t="s">
        <v>34</v>
      </c>
      <c r="W129" s="274">
        <v>2000</v>
      </c>
      <c r="X129" s="274">
        <v>40</v>
      </c>
      <c r="Y129" s="272"/>
      <c r="Z129" s="272"/>
      <c r="AA129" s="272"/>
      <c r="AE129" s="272" t="s">
        <v>675</v>
      </c>
      <c r="AF129" s="272" t="s">
        <v>782</v>
      </c>
      <c r="AG129" s="272" t="s">
        <v>864</v>
      </c>
      <c r="AI129" s="48"/>
      <c r="AJ129" s="48"/>
      <c r="AK129" s="48"/>
      <c r="AL129" s="48"/>
    </row>
    <row r="130" spans="1:38" s="263" customFormat="1" ht="15">
      <c r="A130" s="271">
        <v>1903</v>
      </c>
      <c r="B130" s="272" t="s">
        <v>1051</v>
      </c>
      <c r="C130" s="272" t="s">
        <v>200</v>
      </c>
      <c r="D130" s="272" t="s">
        <v>200</v>
      </c>
      <c r="E130" s="273" t="s">
        <v>200</v>
      </c>
      <c r="F130" s="272" t="s">
        <v>200</v>
      </c>
      <c r="G130" s="263" t="s">
        <v>834</v>
      </c>
      <c r="H130" s="272" t="s">
        <v>200</v>
      </c>
      <c r="I130" s="272" t="s">
        <v>801</v>
      </c>
      <c r="J130" s="263">
        <v>1</v>
      </c>
      <c r="K130" s="281" t="s">
        <v>1058</v>
      </c>
      <c r="L130" s="272" t="s">
        <v>200</v>
      </c>
      <c r="M130" s="272"/>
      <c r="N130" s="272"/>
      <c r="O130" s="272"/>
      <c r="P130" s="272"/>
      <c r="Q130" s="272"/>
      <c r="R130" s="272"/>
      <c r="S130" s="272"/>
      <c r="T130" s="272"/>
      <c r="U130" s="272"/>
      <c r="V130" s="274" t="s">
        <v>34</v>
      </c>
      <c r="W130" s="274">
        <v>1500</v>
      </c>
      <c r="X130" s="274">
        <v>30</v>
      </c>
      <c r="Y130" s="272"/>
      <c r="Z130" s="272"/>
      <c r="AA130" s="272"/>
      <c r="AE130" s="272" t="s">
        <v>675</v>
      </c>
      <c r="AF130" s="272" t="s">
        <v>782</v>
      </c>
      <c r="AG130" s="272" t="s">
        <v>864</v>
      </c>
      <c r="AI130" s="48"/>
      <c r="AJ130" s="48"/>
      <c r="AK130" s="48"/>
      <c r="AL130" s="48"/>
    </row>
    <row r="131" spans="1:38" s="263" customFormat="1" ht="15">
      <c r="A131" s="271">
        <v>1904</v>
      </c>
      <c r="B131" s="272" t="s">
        <v>1051</v>
      </c>
      <c r="C131" s="272" t="s">
        <v>200</v>
      </c>
      <c r="D131" s="272" t="s">
        <v>200</v>
      </c>
      <c r="E131" s="273" t="s">
        <v>200</v>
      </c>
      <c r="F131" s="272" t="s">
        <v>200</v>
      </c>
      <c r="G131" s="263" t="s">
        <v>834</v>
      </c>
      <c r="H131" s="272" t="s">
        <v>200</v>
      </c>
      <c r="I131" s="272" t="s">
        <v>801</v>
      </c>
      <c r="J131" s="263">
        <v>1</v>
      </c>
      <c r="K131" s="281" t="s">
        <v>1059</v>
      </c>
      <c r="L131" s="272" t="s">
        <v>200</v>
      </c>
      <c r="M131" s="272"/>
      <c r="N131" s="272"/>
      <c r="O131" s="272"/>
      <c r="P131" s="272"/>
      <c r="Q131" s="272"/>
      <c r="R131" s="272"/>
      <c r="S131" s="272"/>
      <c r="T131" s="272"/>
      <c r="U131" s="272"/>
      <c r="V131" s="274" t="s">
        <v>34</v>
      </c>
      <c r="W131" s="274">
        <v>1000</v>
      </c>
      <c r="X131" s="274">
        <v>20</v>
      </c>
      <c r="Y131" s="272"/>
      <c r="Z131" s="272"/>
      <c r="AA131" s="272"/>
      <c r="AE131" s="272" t="s">
        <v>675</v>
      </c>
      <c r="AF131" s="272" t="s">
        <v>782</v>
      </c>
      <c r="AG131" s="272" t="s">
        <v>864</v>
      </c>
      <c r="AI131" s="48"/>
      <c r="AJ131" s="48"/>
      <c r="AK131" s="48"/>
      <c r="AL131" s="48"/>
    </row>
    <row r="132" spans="1:38" s="263" customFormat="1" ht="15">
      <c r="A132" s="271">
        <v>1905</v>
      </c>
      <c r="B132" s="272" t="s">
        <v>1051</v>
      </c>
      <c r="C132" s="272" t="s">
        <v>200</v>
      </c>
      <c r="D132" s="272" t="s">
        <v>200</v>
      </c>
      <c r="E132" s="273" t="s">
        <v>200</v>
      </c>
      <c r="F132" s="272" t="s">
        <v>200</v>
      </c>
      <c r="G132" s="263" t="s">
        <v>834</v>
      </c>
      <c r="H132" s="272" t="s">
        <v>200</v>
      </c>
      <c r="I132" s="272" t="s">
        <v>801</v>
      </c>
      <c r="J132" s="263">
        <v>1</v>
      </c>
      <c r="K132" s="281" t="s">
        <v>1060</v>
      </c>
      <c r="L132" s="272" t="s">
        <v>200</v>
      </c>
      <c r="M132" s="272"/>
      <c r="N132" s="272"/>
      <c r="O132" s="272"/>
      <c r="P132" s="272"/>
      <c r="Q132" s="272"/>
      <c r="R132" s="272"/>
      <c r="S132" s="272"/>
      <c r="T132" s="272"/>
      <c r="U132" s="272"/>
      <c r="V132" s="274" t="s">
        <v>34</v>
      </c>
      <c r="W132" s="274">
        <v>2500</v>
      </c>
      <c r="X132" s="274">
        <v>50</v>
      </c>
      <c r="Y132" s="272"/>
      <c r="Z132" s="272"/>
      <c r="AA132" s="274"/>
      <c r="AE132" s="272" t="s">
        <v>675</v>
      </c>
      <c r="AF132" s="272" t="s">
        <v>782</v>
      </c>
      <c r="AG132" s="272" t="s">
        <v>864</v>
      </c>
      <c r="AI132" s="48"/>
      <c r="AJ132" s="48"/>
      <c r="AK132" s="48"/>
      <c r="AL132" s="48"/>
    </row>
    <row r="133" spans="1:38" s="263" customFormat="1" ht="15">
      <c r="A133" s="271">
        <v>1908</v>
      </c>
      <c r="B133" s="272" t="s">
        <v>1051</v>
      </c>
      <c r="C133" s="272" t="s">
        <v>200</v>
      </c>
      <c r="D133" s="272" t="s">
        <v>200</v>
      </c>
      <c r="E133" s="273" t="s">
        <v>200</v>
      </c>
      <c r="F133" s="272" t="s">
        <v>200</v>
      </c>
      <c r="G133" s="263" t="s">
        <v>834</v>
      </c>
      <c r="H133" s="272" t="s">
        <v>200</v>
      </c>
      <c r="I133" s="272" t="s">
        <v>801</v>
      </c>
      <c r="J133" s="263">
        <v>1</v>
      </c>
      <c r="K133" s="281" t="s">
        <v>1061</v>
      </c>
      <c r="L133" s="272" t="s">
        <v>200</v>
      </c>
      <c r="M133" s="272"/>
      <c r="N133" s="272"/>
      <c r="O133" s="272"/>
      <c r="P133" s="272"/>
      <c r="Q133" s="272"/>
      <c r="R133" s="272"/>
      <c r="S133" s="272"/>
      <c r="T133" s="272"/>
      <c r="U133" s="272"/>
      <c r="V133" s="274" t="s">
        <v>34</v>
      </c>
      <c r="W133" s="274">
        <v>1250</v>
      </c>
      <c r="X133" s="274">
        <v>25</v>
      </c>
      <c r="Y133" s="272"/>
      <c r="Z133" s="272"/>
      <c r="AA133" s="272"/>
      <c r="AE133" s="272" t="s">
        <v>675</v>
      </c>
      <c r="AF133" s="272" t="s">
        <v>782</v>
      </c>
      <c r="AG133" s="272" t="s">
        <v>864</v>
      </c>
      <c r="AI133" s="48"/>
      <c r="AJ133" s="48"/>
      <c r="AK133" s="48"/>
      <c r="AL133" s="48"/>
    </row>
    <row r="134" spans="1:38" s="263" customFormat="1" ht="15">
      <c r="A134" s="271">
        <v>1909</v>
      </c>
      <c r="B134" s="272" t="s">
        <v>1051</v>
      </c>
      <c r="C134" s="272" t="s">
        <v>200</v>
      </c>
      <c r="D134" s="272" t="s">
        <v>200</v>
      </c>
      <c r="E134" s="273" t="s">
        <v>200</v>
      </c>
      <c r="F134" s="272" t="s">
        <v>200</v>
      </c>
      <c r="G134" s="263" t="s">
        <v>834</v>
      </c>
      <c r="H134" s="272" t="s">
        <v>200</v>
      </c>
      <c r="I134" s="272" t="s">
        <v>801</v>
      </c>
      <c r="J134" s="263">
        <v>1</v>
      </c>
      <c r="K134" s="281" t="s">
        <v>1062</v>
      </c>
      <c r="L134" s="272" t="s">
        <v>200</v>
      </c>
      <c r="M134" s="272"/>
      <c r="N134" s="272"/>
      <c r="O134" s="272"/>
      <c r="P134" s="272"/>
      <c r="Q134" s="272"/>
      <c r="R134" s="272"/>
      <c r="S134" s="272"/>
      <c r="T134" s="272"/>
      <c r="U134" s="272"/>
      <c r="V134" s="274" t="s">
        <v>34</v>
      </c>
      <c r="W134" s="274">
        <v>2000</v>
      </c>
      <c r="X134" s="274">
        <v>40</v>
      </c>
      <c r="Y134" s="272"/>
      <c r="Z134" s="272"/>
      <c r="AA134" s="272"/>
      <c r="AE134" s="272" t="s">
        <v>675</v>
      </c>
      <c r="AF134" s="272" t="s">
        <v>782</v>
      </c>
      <c r="AG134" s="272" t="s">
        <v>864</v>
      </c>
      <c r="AI134" s="48"/>
      <c r="AJ134" s="48"/>
      <c r="AK134" s="48"/>
      <c r="AL134" s="48"/>
    </row>
    <row r="135" spans="1:38" s="263" customFormat="1" ht="15">
      <c r="A135" s="271">
        <v>1910</v>
      </c>
      <c r="B135" s="273" t="s">
        <v>1051</v>
      </c>
      <c r="C135" s="272" t="s">
        <v>200</v>
      </c>
      <c r="D135" s="272" t="s">
        <v>200</v>
      </c>
      <c r="E135" s="273" t="s">
        <v>200</v>
      </c>
      <c r="F135" s="272" t="s">
        <v>200</v>
      </c>
      <c r="G135" s="263" t="s">
        <v>834</v>
      </c>
      <c r="H135" s="272" t="s">
        <v>200</v>
      </c>
      <c r="I135" s="272" t="s">
        <v>801</v>
      </c>
      <c r="J135" s="263">
        <v>1</v>
      </c>
      <c r="K135" s="273" t="s">
        <v>1063</v>
      </c>
      <c r="L135" s="272" t="s">
        <v>200</v>
      </c>
      <c r="M135" s="273"/>
      <c r="N135" s="273"/>
      <c r="O135" s="273"/>
      <c r="P135" s="273"/>
      <c r="Q135" s="273"/>
      <c r="R135" s="273"/>
      <c r="S135" s="273"/>
      <c r="T135" s="273"/>
      <c r="U135" s="273"/>
      <c r="V135" s="274" t="s">
        <v>34</v>
      </c>
      <c r="W135" s="293">
        <v>3017</v>
      </c>
      <c r="X135" s="274">
        <v>57.59</v>
      </c>
      <c r="Y135" s="273"/>
      <c r="Z135" s="294"/>
      <c r="AA135" s="273"/>
      <c r="AE135" s="272">
        <v>220907</v>
      </c>
      <c r="AF135" s="272" t="s">
        <v>782</v>
      </c>
      <c r="AG135" s="272" t="s">
        <v>864</v>
      </c>
      <c r="AI135" s="48"/>
      <c r="AJ135" s="48"/>
      <c r="AK135" s="48"/>
      <c r="AL135" s="48"/>
    </row>
    <row r="136" spans="1:38" s="263" customFormat="1" ht="15">
      <c r="A136" s="271">
        <v>1911</v>
      </c>
      <c r="B136" s="272" t="s">
        <v>1051</v>
      </c>
      <c r="C136" s="272" t="s">
        <v>200</v>
      </c>
      <c r="D136" s="272" t="s">
        <v>200</v>
      </c>
      <c r="E136" s="273" t="s">
        <v>200</v>
      </c>
      <c r="F136" s="272" t="s">
        <v>200</v>
      </c>
      <c r="G136" s="263" t="s">
        <v>834</v>
      </c>
      <c r="H136" s="272" t="s">
        <v>200</v>
      </c>
      <c r="I136" s="272" t="s">
        <v>801</v>
      </c>
      <c r="J136" s="263">
        <v>1</v>
      </c>
      <c r="K136" s="272" t="s">
        <v>1064</v>
      </c>
      <c r="L136" s="272" t="s">
        <v>200</v>
      </c>
      <c r="M136" s="272"/>
      <c r="N136" s="272"/>
      <c r="O136" s="272"/>
      <c r="P136" s="272"/>
      <c r="Q136" s="272"/>
      <c r="R136" s="272"/>
      <c r="S136" s="272"/>
      <c r="T136" s="272"/>
      <c r="U136" s="272"/>
      <c r="V136" s="274" t="s">
        <v>34</v>
      </c>
      <c r="W136" s="274">
        <v>552</v>
      </c>
      <c r="X136" s="274">
        <v>10.54</v>
      </c>
      <c r="Y136" s="272"/>
      <c r="Z136" s="283"/>
      <c r="AA136" s="272"/>
      <c r="AE136" s="272">
        <v>220224</v>
      </c>
      <c r="AF136" s="272" t="s">
        <v>782</v>
      </c>
      <c r="AG136" s="272" t="s">
        <v>1065</v>
      </c>
      <c r="AI136" s="48"/>
      <c r="AJ136" s="48"/>
      <c r="AK136" s="48"/>
      <c r="AL136" s="48"/>
    </row>
    <row r="137" spans="1:38" s="263" customFormat="1" ht="15">
      <c r="A137" s="271">
        <v>2100</v>
      </c>
      <c r="B137" s="272" t="s">
        <v>1071</v>
      </c>
      <c r="C137" s="272" t="s">
        <v>200</v>
      </c>
      <c r="D137" s="272" t="s">
        <v>200</v>
      </c>
      <c r="E137" s="273" t="s">
        <v>200</v>
      </c>
      <c r="F137" s="272" t="s">
        <v>200</v>
      </c>
      <c r="G137" s="263" t="s">
        <v>834</v>
      </c>
      <c r="H137" s="272" t="s">
        <v>200</v>
      </c>
      <c r="I137" s="272" t="s">
        <v>801</v>
      </c>
      <c r="J137" s="263" t="s">
        <v>200</v>
      </c>
      <c r="K137" s="272">
        <v>1701278208</v>
      </c>
      <c r="L137" s="272" t="s">
        <v>200</v>
      </c>
      <c r="M137" s="272"/>
      <c r="N137" s="272"/>
      <c r="O137" s="272"/>
      <c r="P137" s="272"/>
      <c r="Q137" s="272"/>
      <c r="R137" s="272"/>
      <c r="S137" s="272"/>
      <c r="T137" s="272"/>
      <c r="U137" s="272"/>
      <c r="V137" s="274" t="s">
        <v>34</v>
      </c>
      <c r="W137" s="274"/>
      <c r="X137" s="274"/>
      <c r="Y137" s="272"/>
      <c r="Z137" s="272"/>
      <c r="AA137" s="272"/>
      <c r="AE137" s="272" t="s">
        <v>675</v>
      </c>
      <c r="AF137" s="272" t="s">
        <v>782</v>
      </c>
      <c r="AG137" s="272" t="s">
        <v>964</v>
      </c>
      <c r="AI137" s="48"/>
      <c r="AJ137" s="48"/>
      <c r="AK137" s="48"/>
      <c r="AL137" s="48"/>
    </row>
    <row r="138" spans="1:38" ht="15">
      <c r="A138" s="271">
        <v>2101</v>
      </c>
      <c r="B138" s="272" t="s">
        <v>1071</v>
      </c>
      <c r="C138" s="272" t="s">
        <v>200</v>
      </c>
      <c r="D138" s="272" t="s">
        <v>200</v>
      </c>
      <c r="E138" s="273" t="s">
        <v>200</v>
      </c>
      <c r="F138" s="272" t="s">
        <v>200</v>
      </c>
      <c r="G138" s="263" t="s">
        <v>834</v>
      </c>
      <c r="H138" s="272" t="s">
        <v>200</v>
      </c>
      <c r="I138" s="272" t="s">
        <v>801</v>
      </c>
      <c r="J138" s="263" t="s">
        <v>200</v>
      </c>
      <c r="K138" s="272">
        <v>1702204311</v>
      </c>
      <c r="L138" s="272" t="s">
        <v>200</v>
      </c>
      <c r="M138" s="272"/>
      <c r="N138" s="272"/>
      <c r="O138" s="272"/>
      <c r="P138" s="272"/>
      <c r="Q138" s="272"/>
      <c r="R138" s="272"/>
      <c r="S138" s="272"/>
      <c r="T138" s="272"/>
      <c r="U138" s="272"/>
      <c r="V138" s="274" t="s">
        <v>34</v>
      </c>
      <c r="W138" s="274"/>
      <c r="X138" s="274"/>
      <c r="Y138" s="272"/>
      <c r="Z138" s="272"/>
      <c r="AA138" s="272"/>
      <c r="AB138" s="263"/>
      <c r="AC138" s="263"/>
      <c r="AD138" s="263"/>
      <c r="AE138" s="272" t="s">
        <v>675</v>
      </c>
      <c r="AF138" s="272" t="s">
        <v>782</v>
      </c>
      <c r="AG138" s="272" t="s">
        <v>964</v>
      </c>
      <c r="AH138" s="263"/>
    </row>
    <row r="139" spans="1:38" s="263" customFormat="1" ht="15" customHeight="1">
      <c r="A139" s="271">
        <v>2102</v>
      </c>
      <c r="B139" s="272" t="s">
        <v>1071</v>
      </c>
      <c r="C139" s="272" t="s">
        <v>200</v>
      </c>
      <c r="D139" s="272" t="s">
        <v>200</v>
      </c>
      <c r="E139" s="273" t="s">
        <v>200</v>
      </c>
      <c r="F139" s="272" t="s">
        <v>200</v>
      </c>
      <c r="G139" s="263" t="s">
        <v>834</v>
      </c>
      <c r="H139" s="272" t="s">
        <v>200</v>
      </c>
      <c r="I139" s="272" t="s">
        <v>801</v>
      </c>
      <c r="J139" s="263" t="s">
        <v>200</v>
      </c>
      <c r="K139" s="272"/>
      <c r="L139" s="272" t="s">
        <v>200</v>
      </c>
      <c r="M139" s="272"/>
      <c r="N139" s="272"/>
      <c r="O139" s="272"/>
      <c r="P139" s="272"/>
      <c r="Q139" s="272"/>
      <c r="R139" s="272"/>
      <c r="S139" s="272"/>
      <c r="T139" s="272"/>
      <c r="U139" s="272"/>
      <c r="V139" s="274" t="s">
        <v>34</v>
      </c>
      <c r="W139" s="274"/>
      <c r="X139" s="274"/>
      <c r="Y139" s="272"/>
      <c r="Z139" s="272"/>
      <c r="AA139" s="272"/>
      <c r="AE139" s="272" t="s">
        <v>675</v>
      </c>
      <c r="AF139" s="272" t="s">
        <v>782</v>
      </c>
      <c r="AG139" s="272" t="s">
        <v>964</v>
      </c>
      <c r="AI139" s="48"/>
      <c r="AJ139" s="48"/>
      <c r="AK139" s="48"/>
      <c r="AL139" s="48"/>
    </row>
    <row r="140" spans="1:38" s="263" customFormat="1" ht="15" customHeight="1">
      <c r="A140" s="271">
        <v>2100</v>
      </c>
      <c r="B140" s="272" t="s">
        <v>1071</v>
      </c>
      <c r="C140" s="272" t="s">
        <v>200</v>
      </c>
      <c r="D140" s="272" t="s">
        <v>200</v>
      </c>
      <c r="E140" s="273" t="s">
        <v>200</v>
      </c>
      <c r="F140" s="272" t="s">
        <v>200</v>
      </c>
      <c r="G140" s="263" t="s">
        <v>834</v>
      </c>
      <c r="H140" s="272" t="s">
        <v>200</v>
      </c>
      <c r="I140" s="272" t="s">
        <v>801</v>
      </c>
      <c r="J140" s="263" t="s">
        <v>200</v>
      </c>
      <c r="K140" s="272">
        <v>1701278208</v>
      </c>
      <c r="L140" s="272" t="s">
        <v>200</v>
      </c>
      <c r="M140" s="272"/>
      <c r="N140" s="272"/>
      <c r="O140" s="272"/>
      <c r="P140" s="272"/>
      <c r="Q140" s="272"/>
      <c r="R140" s="272"/>
      <c r="S140" s="272"/>
      <c r="T140" s="272"/>
      <c r="U140" s="272"/>
      <c r="V140" s="274" t="s">
        <v>34</v>
      </c>
      <c r="W140" s="274">
        <v>24600</v>
      </c>
      <c r="X140" s="274">
        <v>492</v>
      </c>
      <c r="Y140" s="272"/>
      <c r="Z140" s="272"/>
      <c r="AA140" s="272"/>
      <c r="AE140" s="272" t="s">
        <v>675</v>
      </c>
      <c r="AF140" s="272" t="s">
        <v>782</v>
      </c>
      <c r="AG140" s="272" t="s">
        <v>964</v>
      </c>
      <c r="AI140" s="48"/>
      <c r="AJ140" s="48"/>
      <c r="AK140" s="48"/>
      <c r="AL140" s="48"/>
    </row>
    <row r="141" spans="1:38" s="263" customFormat="1" ht="15" customHeight="1">
      <c r="A141" s="271">
        <v>2101</v>
      </c>
      <c r="B141" s="272" t="s">
        <v>1071</v>
      </c>
      <c r="C141" s="272" t="s">
        <v>200</v>
      </c>
      <c r="D141" s="272" t="s">
        <v>200</v>
      </c>
      <c r="E141" s="273" t="s">
        <v>200</v>
      </c>
      <c r="F141" s="272" t="s">
        <v>200</v>
      </c>
      <c r="G141" s="263" t="s">
        <v>834</v>
      </c>
      <c r="H141" s="272" t="s">
        <v>200</v>
      </c>
      <c r="I141" s="272" t="s">
        <v>801</v>
      </c>
      <c r="J141" s="263" t="s">
        <v>200</v>
      </c>
      <c r="K141" s="272">
        <v>1702204311</v>
      </c>
      <c r="L141" s="272" t="s">
        <v>200</v>
      </c>
      <c r="M141" s="272"/>
      <c r="N141" s="272"/>
      <c r="O141" s="272"/>
      <c r="P141" s="272"/>
      <c r="Q141" s="272"/>
      <c r="R141" s="272"/>
      <c r="S141" s="272"/>
      <c r="T141" s="272"/>
      <c r="U141" s="272"/>
      <c r="V141" s="274" t="s">
        <v>34</v>
      </c>
      <c r="W141" s="274">
        <v>1800</v>
      </c>
      <c r="X141" s="274">
        <v>36</v>
      </c>
      <c r="Y141" s="272"/>
      <c r="Z141" s="272"/>
      <c r="AA141" s="272"/>
      <c r="AE141" s="272" t="s">
        <v>675</v>
      </c>
      <c r="AF141" s="272" t="s">
        <v>782</v>
      </c>
      <c r="AG141" s="272" t="s">
        <v>964</v>
      </c>
      <c r="AI141" s="48"/>
      <c r="AJ141" s="48"/>
      <c r="AK141" s="48"/>
      <c r="AL141" s="48"/>
    </row>
    <row r="142" spans="1:38" s="263" customFormat="1" ht="15" customHeight="1">
      <c r="A142" s="271">
        <v>2105</v>
      </c>
      <c r="B142" s="272" t="s">
        <v>1071</v>
      </c>
      <c r="C142" s="272" t="s">
        <v>200</v>
      </c>
      <c r="D142" s="272" t="s">
        <v>200</v>
      </c>
      <c r="E142" s="273" t="s">
        <v>200</v>
      </c>
      <c r="F142" s="272" t="s">
        <v>200</v>
      </c>
      <c r="G142" s="263" t="s">
        <v>834</v>
      </c>
      <c r="H142" s="272" t="s">
        <v>200</v>
      </c>
      <c r="I142" s="272" t="s">
        <v>801</v>
      </c>
      <c r="J142" s="263" t="s">
        <v>200</v>
      </c>
      <c r="K142" s="272"/>
      <c r="L142" s="272" t="s">
        <v>200</v>
      </c>
      <c r="M142" s="272"/>
      <c r="N142" s="272"/>
      <c r="O142" s="272"/>
      <c r="P142" s="272"/>
      <c r="Q142" s="272"/>
      <c r="R142" s="272"/>
      <c r="S142" s="272"/>
      <c r="T142" s="272"/>
      <c r="U142" s="272"/>
      <c r="V142" s="274" t="s">
        <v>34</v>
      </c>
      <c r="W142" s="274">
        <v>600</v>
      </c>
      <c r="X142" s="274">
        <v>12</v>
      </c>
      <c r="Y142" s="272"/>
      <c r="Z142" s="272"/>
      <c r="AA142" s="272"/>
      <c r="AE142" s="272" t="s">
        <v>675</v>
      </c>
      <c r="AF142" s="272" t="s">
        <v>782</v>
      </c>
      <c r="AG142" s="272" t="s">
        <v>964</v>
      </c>
      <c r="AI142" s="48"/>
      <c r="AJ142" s="48"/>
      <c r="AK142" s="48"/>
      <c r="AL142" s="48"/>
    </row>
    <row r="143" spans="1:38" s="263" customFormat="1" ht="15" customHeight="1">
      <c r="A143" s="271">
        <v>2103</v>
      </c>
      <c r="B143" s="272" t="s">
        <v>1072</v>
      </c>
      <c r="C143" s="272" t="s">
        <v>200</v>
      </c>
      <c r="D143" s="272" t="s">
        <v>200</v>
      </c>
      <c r="E143" s="273" t="s">
        <v>200</v>
      </c>
      <c r="F143" s="272" t="s">
        <v>200</v>
      </c>
      <c r="G143" s="263" t="s">
        <v>834</v>
      </c>
      <c r="H143" s="272" t="s">
        <v>200</v>
      </c>
      <c r="I143" s="272" t="s">
        <v>801</v>
      </c>
      <c r="J143" s="263" t="s">
        <v>200</v>
      </c>
      <c r="K143" s="272">
        <v>1701278210</v>
      </c>
      <c r="L143" s="272" t="s">
        <v>200</v>
      </c>
      <c r="M143" s="272"/>
      <c r="N143" s="272"/>
      <c r="O143" s="272"/>
      <c r="P143" s="272"/>
      <c r="Q143" s="272"/>
      <c r="R143" s="272"/>
      <c r="S143" s="272"/>
      <c r="T143" s="272"/>
      <c r="U143" s="272"/>
      <c r="V143" s="274" t="s">
        <v>34</v>
      </c>
      <c r="W143" s="274"/>
      <c r="X143" s="274"/>
      <c r="Y143" s="272"/>
      <c r="Z143" s="272"/>
      <c r="AA143" s="272"/>
      <c r="AE143" s="272" t="s">
        <v>675</v>
      </c>
      <c r="AF143" s="272" t="s">
        <v>782</v>
      </c>
      <c r="AG143" s="272" t="s">
        <v>964</v>
      </c>
      <c r="AI143" s="48"/>
      <c r="AJ143" s="48"/>
      <c r="AK143" s="48"/>
      <c r="AL143" s="48"/>
    </row>
    <row r="144" spans="1:38" s="263" customFormat="1" ht="15">
      <c r="A144" s="271">
        <v>2104</v>
      </c>
      <c r="B144" s="272" t="s">
        <v>1072</v>
      </c>
      <c r="C144" s="272" t="s">
        <v>200</v>
      </c>
      <c r="D144" s="272" t="s">
        <v>200</v>
      </c>
      <c r="E144" s="273" t="s">
        <v>200</v>
      </c>
      <c r="F144" s="272" t="s">
        <v>200</v>
      </c>
      <c r="G144" s="263" t="s">
        <v>834</v>
      </c>
      <c r="H144" s="272" t="s">
        <v>200</v>
      </c>
      <c r="I144" s="272" t="s">
        <v>801</v>
      </c>
      <c r="J144" s="263" t="s">
        <v>200</v>
      </c>
      <c r="K144" s="272"/>
      <c r="L144" s="272" t="s">
        <v>200</v>
      </c>
      <c r="M144" s="272"/>
      <c r="N144" s="272"/>
      <c r="O144" s="272"/>
      <c r="P144" s="272"/>
      <c r="Q144" s="272"/>
      <c r="R144" s="272"/>
      <c r="S144" s="272"/>
      <c r="T144" s="272"/>
      <c r="U144" s="272"/>
      <c r="V144" s="274" t="s">
        <v>34</v>
      </c>
      <c r="W144" s="274"/>
      <c r="X144" s="274"/>
      <c r="Y144" s="272"/>
      <c r="Z144" s="272"/>
      <c r="AA144" s="272"/>
      <c r="AE144" s="272" t="s">
        <v>675</v>
      </c>
      <c r="AF144" s="272" t="s">
        <v>782</v>
      </c>
      <c r="AG144" s="272" t="s">
        <v>964</v>
      </c>
      <c r="AI144" s="48"/>
      <c r="AJ144" s="48"/>
      <c r="AK144" s="48"/>
      <c r="AL144" s="48"/>
    </row>
    <row r="145" spans="1:38" s="263" customFormat="1" ht="15">
      <c r="A145" s="271">
        <v>1107</v>
      </c>
      <c r="B145" s="272" t="s">
        <v>591</v>
      </c>
      <c r="C145" s="272" t="s">
        <v>200</v>
      </c>
      <c r="D145" s="272" t="s">
        <v>200</v>
      </c>
      <c r="E145" s="273" t="s">
        <v>200</v>
      </c>
      <c r="F145" s="272" t="s">
        <v>200</v>
      </c>
      <c r="G145" s="263" t="s">
        <v>834</v>
      </c>
      <c r="H145" s="272" t="s">
        <v>200</v>
      </c>
      <c r="I145" s="272" t="s">
        <v>801</v>
      </c>
      <c r="J145" s="263">
        <v>1</v>
      </c>
      <c r="K145" s="272" t="s">
        <v>907</v>
      </c>
      <c r="L145" s="272" t="s">
        <v>200</v>
      </c>
      <c r="M145" s="281" t="s">
        <v>1073</v>
      </c>
      <c r="N145" s="281"/>
      <c r="O145" s="281"/>
      <c r="P145" s="281"/>
      <c r="Q145" s="281"/>
      <c r="R145" s="281"/>
      <c r="S145" s="272" t="s">
        <v>118</v>
      </c>
      <c r="T145" s="272" t="s">
        <v>118</v>
      </c>
      <c r="U145" s="272" t="s">
        <v>258</v>
      </c>
      <c r="V145" s="274" t="s">
        <v>34</v>
      </c>
      <c r="W145" s="274"/>
      <c r="X145" s="274">
        <v>0</v>
      </c>
      <c r="Y145" s="272"/>
      <c r="Z145" s="272"/>
      <c r="AA145" s="272"/>
      <c r="AE145" s="272">
        <v>220902</v>
      </c>
      <c r="AF145" s="272" t="s">
        <v>775</v>
      </c>
      <c r="AG145" s="272" t="s">
        <v>761</v>
      </c>
      <c r="AI145" s="48"/>
      <c r="AJ145" s="48"/>
      <c r="AK145" s="48"/>
      <c r="AL145" s="48"/>
    </row>
    <row r="146" spans="1:38" s="263" customFormat="1" ht="15">
      <c r="A146" s="271">
        <v>1111</v>
      </c>
      <c r="B146" s="272" t="s">
        <v>591</v>
      </c>
      <c r="C146" s="272" t="s">
        <v>200</v>
      </c>
      <c r="D146" s="272" t="s">
        <v>200</v>
      </c>
      <c r="E146" s="273" t="s">
        <v>200</v>
      </c>
      <c r="F146" s="272" t="s">
        <v>200</v>
      </c>
      <c r="G146" s="263" t="s">
        <v>834</v>
      </c>
      <c r="H146" s="272" t="s">
        <v>200</v>
      </c>
      <c r="I146" s="272" t="s">
        <v>801</v>
      </c>
      <c r="J146" s="263">
        <v>1</v>
      </c>
      <c r="K146" s="272" t="s">
        <v>1047</v>
      </c>
      <c r="L146" s="272" t="s">
        <v>200</v>
      </c>
      <c r="M146" s="271">
        <v>183459802956</v>
      </c>
      <c r="N146" s="272"/>
      <c r="O146" s="272"/>
      <c r="P146" s="272"/>
      <c r="Q146" s="272"/>
      <c r="R146" s="272"/>
      <c r="S146" s="272" t="s">
        <v>118</v>
      </c>
      <c r="T146" s="272" t="s">
        <v>118</v>
      </c>
      <c r="U146" s="272" t="s">
        <v>258</v>
      </c>
      <c r="V146" s="274" t="s">
        <v>34</v>
      </c>
      <c r="W146" s="274">
        <v>3250</v>
      </c>
      <c r="X146" s="274">
        <v>65</v>
      </c>
      <c r="Y146" s="272"/>
      <c r="Z146" s="272"/>
      <c r="AA146" s="272"/>
      <c r="AE146" s="272" t="s">
        <v>675</v>
      </c>
      <c r="AF146" s="272" t="s">
        <v>782</v>
      </c>
      <c r="AG146" s="272" t="s">
        <v>985</v>
      </c>
      <c r="AI146" s="48"/>
      <c r="AJ146" s="48"/>
      <c r="AK146" s="48"/>
      <c r="AL146" s="48"/>
    </row>
    <row r="147" spans="1:38" s="263" customFormat="1" ht="15">
      <c r="A147" s="271">
        <v>1113</v>
      </c>
      <c r="B147" s="272" t="s">
        <v>591</v>
      </c>
      <c r="C147" s="272" t="s">
        <v>200</v>
      </c>
      <c r="D147" s="272" t="s">
        <v>200</v>
      </c>
      <c r="E147" s="273" t="s">
        <v>200</v>
      </c>
      <c r="F147" s="272" t="s">
        <v>200</v>
      </c>
      <c r="G147" s="263" t="s">
        <v>834</v>
      </c>
      <c r="H147" s="272" t="s">
        <v>200</v>
      </c>
      <c r="I147" s="272" t="s">
        <v>801</v>
      </c>
      <c r="J147" s="263">
        <v>1</v>
      </c>
      <c r="K147" s="272" t="s">
        <v>397</v>
      </c>
      <c r="L147" s="272" t="s">
        <v>200</v>
      </c>
      <c r="M147" s="271">
        <v>193467805219</v>
      </c>
      <c r="N147" s="272"/>
      <c r="O147" s="272"/>
      <c r="P147" s="272"/>
      <c r="Q147" s="272"/>
      <c r="R147" s="272"/>
      <c r="S147" s="272" t="s">
        <v>118</v>
      </c>
      <c r="T147" s="272" t="s">
        <v>118</v>
      </c>
      <c r="U147" s="272" t="s">
        <v>258</v>
      </c>
      <c r="V147" s="274" t="s">
        <v>34</v>
      </c>
      <c r="W147" s="274">
        <v>3250</v>
      </c>
      <c r="X147" s="274">
        <v>65</v>
      </c>
      <c r="Y147" s="272"/>
      <c r="Z147" s="272"/>
      <c r="AA147" s="272"/>
      <c r="AE147" s="272">
        <v>191113</v>
      </c>
      <c r="AF147" s="272" t="s">
        <v>782</v>
      </c>
      <c r="AG147" s="272" t="s">
        <v>764</v>
      </c>
      <c r="AI147" s="48"/>
      <c r="AJ147" s="48"/>
      <c r="AK147" s="48"/>
      <c r="AL147" s="48"/>
    </row>
    <row r="148" spans="1:38" s="263" customFormat="1" ht="15">
      <c r="A148" s="271">
        <v>1114</v>
      </c>
      <c r="B148" s="272" t="s">
        <v>591</v>
      </c>
      <c r="C148" s="272" t="s">
        <v>200</v>
      </c>
      <c r="D148" s="272" t="s">
        <v>200</v>
      </c>
      <c r="E148" s="273" t="s">
        <v>200</v>
      </c>
      <c r="F148" s="272" t="s">
        <v>200</v>
      </c>
      <c r="G148" s="263" t="s">
        <v>834</v>
      </c>
      <c r="H148" s="272" t="s">
        <v>200</v>
      </c>
      <c r="I148" s="272" t="s">
        <v>801</v>
      </c>
      <c r="J148" s="263">
        <v>1</v>
      </c>
      <c r="K148" s="272" t="s">
        <v>1074</v>
      </c>
      <c r="L148" s="272" t="s">
        <v>200</v>
      </c>
      <c r="M148" s="271" t="s">
        <v>398</v>
      </c>
      <c r="N148" s="272"/>
      <c r="O148" s="272"/>
      <c r="P148" s="272"/>
      <c r="Q148" s="272"/>
      <c r="R148" s="272"/>
      <c r="S148" s="272" t="s">
        <v>118</v>
      </c>
      <c r="T148" s="272" t="s">
        <v>118</v>
      </c>
      <c r="U148" s="272" t="s">
        <v>258</v>
      </c>
      <c r="V148" s="274" t="s">
        <v>34</v>
      </c>
      <c r="W148" s="274">
        <v>3250</v>
      </c>
      <c r="X148" s="274">
        <v>65</v>
      </c>
      <c r="Y148" s="272"/>
      <c r="Z148" s="272"/>
      <c r="AA148" s="272"/>
      <c r="AE148" s="272">
        <v>191113</v>
      </c>
      <c r="AF148" s="272" t="s">
        <v>782</v>
      </c>
      <c r="AG148" s="272" t="s">
        <v>764</v>
      </c>
      <c r="AI148" s="48"/>
      <c r="AJ148" s="48"/>
      <c r="AK148" s="48"/>
      <c r="AL148" s="48"/>
    </row>
    <row r="149" spans="1:38" s="263" customFormat="1" ht="15">
      <c r="A149" s="271">
        <v>1115</v>
      </c>
      <c r="B149" s="272" t="s">
        <v>591</v>
      </c>
      <c r="C149" s="272" t="s">
        <v>200</v>
      </c>
      <c r="D149" s="272" t="s">
        <v>200</v>
      </c>
      <c r="E149" s="273" t="s">
        <v>200</v>
      </c>
      <c r="F149" s="272" t="s">
        <v>200</v>
      </c>
      <c r="G149" s="263" t="s">
        <v>834</v>
      </c>
      <c r="H149" s="272" t="s">
        <v>200</v>
      </c>
      <c r="I149" s="272" t="s">
        <v>801</v>
      </c>
      <c r="J149" s="263">
        <v>1</v>
      </c>
      <c r="K149" s="272" t="s">
        <v>397</v>
      </c>
      <c r="L149" s="272" t="s">
        <v>200</v>
      </c>
      <c r="M149" s="271" t="s">
        <v>1075</v>
      </c>
      <c r="N149" s="272"/>
      <c r="O149" s="272"/>
      <c r="P149" s="272"/>
      <c r="Q149" s="272"/>
      <c r="R149" s="272"/>
      <c r="S149" s="272" t="s">
        <v>118</v>
      </c>
      <c r="T149" s="272" t="s">
        <v>118</v>
      </c>
      <c r="U149" s="272" t="s">
        <v>258</v>
      </c>
      <c r="V149" s="274" t="s">
        <v>34</v>
      </c>
      <c r="W149" s="274">
        <v>3250</v>
      </c>
      <c r="X149" s="274">
        <v>65</v>
      </c>
      <c r="Y149" s="272"/>
      <c r="Z149" s="272"/>
      <c r="AA149" s="272"/>
      <c r="AE149" s="272">
        <v>191113</v>
      </c>
      <c r="AF149" s="272" t="s">
        <v>782</v>
      </c>
      <c r="AG149" s="272" t="s">
        <v>764</v>
      </c>
      <c r="AI149" s="48"/>
      <c r="AJ149" s="48"/>
      <c r="AK149" s="48"/>
      <c r="AL149" s="48"/>
    </row>
    <row r="150" spans="1:38" s="263" customFormat="1" ht="15">
      <c r="A150" s="271">
        <v>1116</v>
      </c>
      <c r="B150" s="272" t="s">
        <v>591</v>
      </c>
      <c r="C150" s="272" t="s">
        <v>200</v>
      </c>
      <c r="D150" s="272" t="s">
        <v>200</v>
      </c>
      <c r="E150" s="273" t="s">
        <v>200</v>
      </c>
      <c r="F150" s="272" t="s">
        <v>200</v>
      </c>
      <c r="G150" s="263" t="s">
        <v>834</v>
      </c>
      <c r="H150" s="272" t="s">
        <v>200</v>
      </c>
      <c r="I150" s="272" t="s">
        <v>801</v>
      </c>
      <c r="J150" s="263">
        <v>1</v>
      </c>
      <c r="K150" s="272" t="s">
        <v>397</v>
      </c>
      <c r="L150" s="272" t="s">
        <v>200</v>
      </c>
      <c r="M150" s="271" t="s">
        <v>1076</v>
      </c>
      <c r="N150" s="272"/>
      <c r="O150" s="272"/>
      <c r="P150" s="272"/>
      <c r="Q150" s="272"/>
      <c r="R150" s="272"/>
      <c r="S150" s="272" t="s">
        <v>118</v>
      </c>
      <c r="T150" s="272" t="s">
        <v>118</v>
      </c>
      <c r="U150" s="272" t="s">
        <v>258</v>
      </c>
      <c r="V150" s="274" t="s">
        <v>34</v>
      </c>
      <c r="W150" s="274">
        <v>3250</v>
      </c>
      <c r="X150" s="274">
        <v>65</v>
      </c>
      <c r="Y150" s="272"/>
      <c r="Z150" s="272"/>
      <c r="AA150" s="272"/>
      <c r="AE150" s="272">
        <v>191113</v>
      </c>
      <c r="AF150" s="272" t="s">
        <v>782</v>
      </c>
      <c r="AG150" s="272" t="s">
        <v>764</v>
      </c>
      <c r="AI150" s="48"/>
      <c r="AJ150" s="48"/>
      <c r="AK150" s="48"/>
      <c r="AL150" s="48"/>
    </row>
    <row r="151" spans="1:38" s="263" customFormat="1" ht="15">
      <c r="A151" s="271">
        <v>1118</v>
      </c>
      <c r="B151" s="272" t="s">
        <v>591</v>
      </c>
      <c r="C151" s="272" t="s">
        <v>200</v>
      </c>
      <c r="D151" s="272" t="s">
        <v>200</v>
      </c>
      <c r="E151" s="273" t="s">
        <v>200</v>
      </c>
      <c r="F151" s="272" t="s">
        <v>200</v>
      </c>
      <c r="G151" s="263" t="s">
        <v>834</v>
      </c>
      <c r="H151" s="272" t="s">
        <v>200</v>
      </c>
      <c r="I151" s="272" t="s">
        <v>801</v>
      </c>
      <c r="J151" s="263">
        <v>1</v>
      </c>
      <c r="K151" s="272" t="s">
        <v>1077</v>
      </c>
      <c r="L151" s="272" t="s">
        <v>200</v>
      </c>
      <c r="M151" s="272" t="s">
        <v>1078</v>
      </c>
      <c r="N151" s="272"/>
      <c r="O151" s="272"/>
      <c r="P151" s="272"/>
      <c r="Q151" s="272"/>
      <c r="R151" s="272"/>
      <c r="S151" s="272" t="s">
        <v>118</v>
      </c>
      <c r="T151" s="272" t="s">
        <v>118</v>
      </c>
      <c r="U151" s="272" t="s">
        <v>295</v>
      </c>
      <c r="V151" s="274" t="s">
        <v>34</v>
      </c>
      <c r="W151" s="274">
        <v>2500</v>
      </c>
      <c r="X151" s="274">
        <v>50</v>
      </c>
      <c r="Y151" s="272"/>
      <c r="Z151" s="272"/>
      <c r="AA151" s="272"/>
      <c r="AE151" s="272" t="s">
        <v>675</v>
      </c>
      <c r="AF151" s="272" t="s">
        <v>782</v>
      </c>
      <c r="AG151" s="272" t="s">
        <v>985</v>
      </c>
      <c r="AI151" s="48"/>
      <c r="AJ151" s="48"/>
      <c r="AK151" s="48"/>
      <c r="AL151" s="48"/>
    </row>
    <row r="152" spans="1:38" s="263" customFormat="1" ht="15">
      <c r="A152" s="271">
        <v>1123</v>
      </c>
      <c r="B152" s="272" t="s">
        <v>591</v>
      </c>
      <c r="C152" s="272" t="s">
        <v>200</v>
      </c>
      <c r="D152" s="272" t="s">
        <v>200</v>
      </c>
      <c r="E152" s="273" t="s">
        <v>200</v>
      </c>
      <c r="F152" s="272" t="s">
        <v>200</v>
      </c>
      <c r="G152" s="263" t="s">
        <v>834</v>
      </c>
      <c r="H152" s="272" t="s">
        <v>200</v>
      </c>
      <c r="I152" s="272" t="s">
        <v>801</v>
      </c>
      <c r="J152" s="263">
        <v>1</v>
      </c>
      <c r="K152" s="272" t="s">
        <v>401</v>
      </c>
      <c r="L152" s="272" t="s">
        <v>200</v>
      </c>
      <c r="M152" s="271">
        <v>160310402246</v>
      </c>
      <c r="N152" s="272"/>
      <c r="O152" s="272"/>
      <c r="P152" s="272"/>
      <c r="Q152" s="272"/>
      <c r="R152" s="272"/>
      <c r="S152" s="272" t="s">
        <v>118</v>
      </c>
      <c r="T152" s="272" t="s">
        <v>118</v>
      </c>
      <c r="U152" s="272" t="s">
        <v>407</v>
      </c>
      <c r="V152" s="274" t="s">
        <v>34</v>
      </c>
      <c r="W152" s="274">
        <v>3250</v>
      </c>
      <c r="X152" s="274">
        <v>65</v>
      </c>
      <c r="Y152" s="272"/>
      <c r="Z152" s="272"/>
      <c r="AA152" s="272"/>
      <c r="AE152" s="272" t="s">
        <v>675</v>
      </c>
      <c r="AF152" s="272" t="s">
        <v>782</v>
      </c>
      <c r="AG152" s="272" t="s">
        <v>985</v>
      </c>
      <c r="AI152" s="48"/>
      <c r="AJ152" s="48"/>
      <c r="AK152" s="48"/>
      <c r="AL152" s="48"/>
    </row>
    <row r="153" spans="1:38" s="263" customFormat="1" ht="15">
      <c r="A153" s="271">
        <v>1302</v>
      </c>
      <c r="B153" s="272" t="s">
        <v>557</v>
      </c>
      <c r="C153" s="272" t="s">
        <v>200</v>
      </c>
      <c r="D153" s="272" t="s">
        <v>200</v>
      </c>
      <c r="E153" s="273" t="s">
        <v>200</v>
      </c>
      <c r="F153" s="272" t="s">
        <v>200</v>
      </c>
      <c r="G153" s="263" t="s">
        <v>834</v>
      </c>
      <c r="H153" s="272" t="s">
        <v>200</v>
      </c>
      <c r="I153" s="272" t="s">
        <v>801</v>
      </c>
      <c r="J153" s="263">
        <v>1</v>
      </c>
      <c r="K153" s="281" t="s">
        <v>1079</v>
      </c>
      <c r="L153" s="272" t="s">
        <v>200</v>
      </c>
      <c r="M153" s="272"/>
      <c r="N153" s="272"/>
      <c r="O153" s="272"/>
      <c r="P153" s="272"/>
      <c r="Q153" s="272"/>
      <c r="R153" s="272"/>
      <c r="S153" s="272"/>
      <c r="T153" s="272"/>
      <c r="U153" s="272"/>
      <c r="V153" s="274" t="s">
        <v>34</v>
      </c>
      <c r="W153" s="274">
        <v>750</v>
      </c>
      <c r="X153" s="274">
        <v>15</v>
      </c>
      <c r="Y153" s="272"/>
      <c r="Z153" s="272"/>
      <c r="AA153" s="272"/>
      <c r="AE153" s="272" t="s">
        <v>675</v>
      </c>
      <c r="AF153" s="272" t="s">
        <v>782</v>
      </c>
      <c r="AG153" s="272" t="s">
        <v>1080</v>
      </c>
      <c r="AI153" s="48"/>
      <c r="AJ153" s="48"/>
      <c r="AK153" s="48"/>
      <c r="AL153" s="48"/>
    </row>
    <row r="154" spans="1:38" s="263" customFormat="1" ht="15">
      <c r="A154" s="271">
        <v>1300</v>
      </c>
      <c r="B154" s="272" t="s">
        <v>557</v>
      </c>
      <c r="C154" s="272" t="s">
        <v>200</v>
      </c>
      <c r="D154" s="272" t="s">
        <v>200</v>
      </c>
      <c r="E154" s="273" t="s">
        <v>200</v>
      </c>
      <c r="F154" s="272" t="s">
        <v>200</v>
      </c>
      <c r="G154" s="263" t="s">
        <v>834</v>
      </c>
      <c r="H154" s="272" t="s">
        <v>200</v>
      </c>
      <c r="I154" s="272" t="s">
        <v>801</v>
      </c>
      <c r="J154" s="263">
        <v>1</v>
      </c>
      <c r="K154" s="281" t="s">
        <v>1081</v>
      </c>
      <c r="L154" s="272" t="s">
        <v>200</v>
      </c>
      <c r="M154" s="272"/>
      <c r="N154" s="272"/>
      <c r="O154" s="272"/>
      <c r="P154" s="272"/>
      <c r="Q154" s="272"/>
      <c r="R154" s="272"/>
      <c r="S154" s="272"/>
      <c r="T154" s="272"/>
      <c r="U154" s="272"/>
      <c r="V154" s="274" t="s">
        <v>34</v>
      </c>
      <c r="W154" s="274">
        <v>2500</v>
      </c>
      <c r="X154" s="274">
        <v>50</v>
      </c>
      <c r="Y154" s="272"/>
      <c r="Z154" s="272"/>
      <c r="AA154" s="272"/>
      <c r="AE154" s="272">
        <v>200615</v>
      </c>
      <c r="AF154" s="272" t="s">
        <v>782</v>
      </c>
      <c r="AG154" s="272" t="s">
        <v>864</v>
      </c>
      <c r="AI154" s="48"/>
      <c r="AJ154" s="48"/>
      <c r="AK154" s="48"/>
      <c r="AL154" s="48"/>
    </row>
    <row r="155" spans="1:38" s="263" customFormat="1" ht="15">
      <c r="A155" s="271">
        <v>1301</v>
      </c>
      <c r="B155" s="272" t="s">
        <v>557</v>
      </c>
      <c r="C155" s="272" t="s">
        <v>200</v>
      </c>
      <c r="D155" s="272" t="s">
        <v>200</v>
      </c>
      <c r="E155" s="273" t="s">
        <v>200</v>
      </c>
      <c r="F155" s="272" t="s">
        <v>200</v>
      </c>
      <c r="G155" s="263" t="s">
        <v>834</v>
      </c>
      <c r="H155" s="272" t="s">
        <v>200</v>
      </c>
      <c r="I155" s="272" t="s">
        <v>801</v>
      </c>
      <c r="J155" s="263">
        <v>1</v>
      </c>
      <c r="K155" s="281" t="s">
        <v>101</v>
      </c>
      <c r="L155" s="272" t="s">
        <v>200</v>
      </c>
      <c r="M155" s="272"/>
      <c r="N155" s="272"/>
      <c r="O155" s="272"/>
      <c r="P155" s="272"/>
      <c r="Q155" s="272"/>
      <c r="R155" s="272"/>
      <c r="S155" s="272"/>
      <c r="T155" s="272"/>
      <c r="U155" s="272"/>
      <c r="V155" s="274" t="s">
        <v>34</v>
      </c>
      <c r="W155" s="274">
        <v>2500</v>
      </c>
      <c r="X155" s="274">
        <v>50</v>
      </c>
      <c r="Y155" s="272"/>
      <c r="Z155" s="272"/>
      <c r="AA155" s="272"/>
      <c r="AE155" s="272" t="s">
        <v>675</v>
      </c>
      <c r="AF155" s="272" t="s">
        <v>782</v>
      </c>
      <c r="AG155" s="272" t="s">
        <v>864</v>
      </c>
      <c r="AI155" s="48"/>
      <c r="AJ155" s="48"/>
      <c r="AK155" s="48"/>
      <c r="AL155" s="48"/>
    </row>
    <row r="156" spans="1:38" s="263" customFormat="1" ht="15">
      <c r="A156" s="271">
        <v>1303</v>
      </c>
      <c r="B156" s="272" t="s">
        <v>557</v>
      </c>
      <c r="C156" s="272" t="s">
        <v>200</v>
      </c>
      <c r="D156" s="272" t="s">
        <v>200</v>
      </c>
      <c r="E156" s="273" t="s">
        <v>200</v>
      </c>
      <c r="F156" s="272" t="s">
        <v>200</v>
      </c>
      <c r="G156" s="263" t="s">
        <v>834</v>
      </c>
      <c r="H156" s="272" t="s">
        <v>200</v>
      </c>
      <c r="I156" s="272" t="s">
        <v>801</v>
      </c>
      <c r="J156" s="263">
        <v>1</v>
      </c>
      <c r="K156" s="281" t="s">
        <v>1082</v>
      </c>
      <c r="L156" s="272" t="s">
        <v>200</v>
      </c>
      <c r="M156" s="272"/>
      <c r="N156" s="272"/>
      <c r="O156" s="272"/>
      <c r="P156" s="272"/>
      <c r="Q156" s="272"/>
      <c r="R156" s="272"/>
      <c r="S156" s="272"/>
      <c r="T156" s="272"/>
      <c r="U156" s="272"/>
      <c r="V156" s="274" t="s">
        <v>34</v>
      </c>
      <c r="W156" s="274">
        <v>2500</v>
      </c>
      <c r="X156" s="274">
        <v>50</v>
      </c>
      <c r="Y156" s="272"/>
      <c r="Z156" s="272"/>
      <c r="AA156" s="272"/>
      <c r="AE156" s="272" t="s">
        <v>675</v>
      </c>
      <c r="AF156" s="272" t="s">
        <v>782</v>
      </c>
      <c r="AG156" s="272" t="s">
        <v>864</v>
      </c>
      <c r="AI156" s="48"/>
      <c r="AJ156" s="48"/>
      <c r="AK156" s="48"/>
      <c r="AL156" s="48"/>
    </row>
    <row r="157" spans="1:38" s="263" customFormat="1" ht="15">
      <c r="A157" s="271">
        <v>1304</v>
      </c>
      <c r="B157" s="272" t="s">
        <v>557</v>
      </c>
      <c r="C157" s="272" t="s">
        <v>200</v>
      </c>
      <c r="D157" s="272" t="s">
        <v>200</v>
      </c>
      <c r="E157" s="273" t="s">
        <v>200</v>
      </c>
      <c r="F157" s="272" t="s">
        <v>200</v>
      </c>
      <c r="G157" s="263" t="s">
        <v>834</v>
      </c>
      <c r="H157" s="272" t="s">
        <v>200</v>
      </c>
      <c r="I157" s="272" t="s">
        <v>801</v>
      </c>
      <c r="J157" s="263">
        <v>1</v>
      </c>
      <c r="K157" s="281" t="s">
        <v>102</v>
      </c>
      <c r="L157" s="272" t="s">
        <v>200</v>
      </c>
      <c r="M157" s="272"/>
      <c r="N157" s="272"/>
      <c r="O157" s="272"/>
      <c r="P157" s="272"/>
      <c r="Q157" s="272"/>
      <c r="R157" s="272"/>
      <c r="S157" s="272"/>
      <c r="T157" s="272"/>
      <c r="U157" s="272"/>
      <c r="V157" s="274" t="s">
        <v>34</v>
      </c>
      <c r="W157" s="274">
        <v>3000</v>
      </c>
      <c r="X157" s="274">
        <v>60</v>
      </c>
      <c r="Y157" s="272"/>
      <c r="Z157" s="272"/>
      <c r="AA157" s="272"/>
      <c r="AE157" s="272" t="s">
        <v>675</v>
      </c>
      <c r="AF157" s="272" t="s">
        <v>782</v>
      </c>
      <c r="AG157" s="272" t="s">
        <v>864</v>
      </c>
      <c r="AI157" s="48"/>
      <c r="AJ157" s="48"/>
      <c r="AK157" s="48"/>
      <c r="AL157" s="48"/>
    </row>
    <row r="158" spans="1:38" s="263" customFormat="1">
      <c r="A158" s="261">
        <v>511</v>
      </c>
      <c r="B158" s="262" t="s">
        <v>121</v>
      </c>
      <c r="C158" s="262" t="s">
        <v>200</v>
      </c>
      <c r="D158" s="262" t="s">
        <v>200</v>
      </c>
      <c r="E158" s="262" t="s">
        <v>200</v>
      </c>
      <c r="F158" s="260" t="s">
        <v>200</v>
      </c>
      <c r="G158" s="252" t="s">
        <v>834</v>
      </c>
      <c r="H158" s="263" t="s">
        <v>200</v>
      </c>
      <c r="I158" s="262" t="s">
        <v>801</v>
      </c>
      <c r="J158" s="263">
        <v>1</v>
      </c>
      <c r="K158" s="262" t="s">
        <v>44</v>
      </c>
      <c r="L158" s="263" t="s">
        <v>200</v>
      </c>
      <c r="M158" s="262" t="s">
        <v>138</v>
      </c>
      <c r="N158" s="262"/>
      <c r="O158" s="262" t="s">
        <v>128</v>
      </c>
      <c r="P158" s="262"/>
      <c r="Q158" s="262"/>
      <c r="R158" s="262"/>
      <c r="S158" s="262"/>
      <c r="T158" s="262"/>
      <c r="V158" s="262" t="s">
        <v>34</v>
      </c>
      <c r="W158" s="264">
        <v>8000</v>
      </c>
      <c r="X158" s="265">
        <v>8000</v>
      </c>
      <c r="Y158" s="265">
        <v>160</v>
      </c>
      <c r="AE158" s="263" t="s">
        <v>675</v>
      </c>
      <c r="AF158" s="263" t="s">
        <v>715</v>
      </c>
      <c r="AG158" s="263" t="s">
        <v>853</v>
      </c>
      <c r="AI158" s="48"/>
      <c r="AJ158" s="48"/>
      <c r="AK158" s="48"/>
      <c r="AL158" s="48"/>
    </row>
    <row r="159" spans="1:38" s="263" customFormat="1">
      <c r="A159" s="261">
        <v>500</v>
      </c>
      <c r="B159" s="262" t="s">
        <v>121</v>
      </c>
      <c r="C159" s="262" t="s">
        <v>200</v>
      </c>
      <c r="D159" s="262" t="s">
        <v>200</v>
      </c>
      <c r="E159" s="262" t="s">
        <v>200</v>
      </c>
      <c r="F159" s="260" t="s">
        <v>200</v>
      </c>
      <c r="G159" s="252" t="s">
        <v>834</v>
      </c>
      <c r="H159" s="263" t="s">
        <v>200</v>
      </c>
      <c r="I159" s="262" t="s">
        <v>801</v>
      </c>
      <c r="J159" s="263">
        <v>1</v>
      </c>
      <c r="K159" s="262" t="s">
        <v>44</v>
      </c>
      <c r="L159" s="263" t="s">
        <v>200</v>
      </c>
      <c r="M159" s="262" t="s">
        <v>138</v>
      </c>
      <c r="N159" s="262" t="s">
        <v>310</v>
      </c>
      <c r="O159" s="262" t="s">
        <v>128</v>
      </c>
      <c r="P159" s="262"/>
      <c r="Q159" s="262"/>
      <c r="R159" s="262"/>
      <c r="S159" s="262"/>
      <c r="T159" s="262"/>
      <c r="U159" s="262"/>
      <c r="V159" s="262" t="s">
        <v>34</v>
      </c>
      <c r="W159" s="266">
        <v>10000</v>
      </c>
      <c r="X159" s="265">
        <v>10000</v>
      </c>
      <c r="Y159" s="265">
        <v>200</v>
      </c>
      <c r="Z159" s="262"/>
      <c r="AA159" s="267"/>
      <c r="AE159" s="263">
        <v>191113</v>
      </c>
      <c r="AF159" s="263" t="s">
        <v>715</v>
      </c>
      <c r="AG159" s="263" t="s">
        <v>854</v>
      </c>
      <c r="AI159" s="48"/>
      <c r="AJ159" s="48"/>
      <c r="AK159" s="48"/>
      <c r="AL159" s="48"/>
    </row>
    <row r="160" spans="1:38" s="263" customFormat="1">
      <c r="A160" s="261">
        <v>503</v>
      </c>
      <c r="B160" s="262" t="s">
        <v>121</v>
      </c>
      <c r="C160" s="262" t="s">
        <v>200</v>
      </c>
      <c r="D160" s="262" t="s">
        <v>200</v>
      </c>
      <c r="E160" s="262" t="s">
        <v>200</v>
      </c>
      <c r="F160" s="260" t="s">
        <v>200</v>
      </c>
      <c r="G160" s="252" t="s">
        <v>834</v>
      </c>
      <c r="H160" s="263" t="s">
        <v>200</v>
      </c>
      <c r="I160" s="262" t="s">
        <v>801</v>
      </c>
      <c r="J160" s="263">
        <v>1</v>
      </c>
      <c r="K160" s="262" t="s">
        <v>44</v>
      </c>
      <c r="L160" s="263" t="s">
        <v>200</v>
      </c>
      <c r="M160" s="262" t="s">
        <v>126</v>
      </c>
      <c r="N160" s="262" t="s">
        <v>127</v>
      </c>
      <c r="O160" s="262" t="s">
        <v>855</v>
      </c>
      <c r="P160" s="262"/>
      <c r="Q160" s="262"/>
      <c r="R160" s="262"/>
      <c r="S160" s="262"/>
      <c r="T160" s="262"/>
      <c r="U160" s="262"/>
      <c r="V160" s="262" t="s">
        <v>34</v>
      </c>
      <c r="W160" s="264">
        <v>3000</v>
      </c>
      <c r="X160" s="265">
        <v>3000</v>
      </c>
      <c r="Y160" s="265">
        <v>60</v>
      </c>
      <c r="AA160" s="267"/>
      <c r="AE160" s="263">
        <v>220426</v>
      </c>
      <c r="AF160" s="263" t="s">
        <v>715</v>
      </c>
      <c r="AG160" s="263" t="s">
        <v>807</v>
      </c>
      <c r="AI160" s="48"/>
      <c r="AJ160" s="48"/>
      <c r="AK160" s="48"/>
      <c r="AL160" s="48"/>
    </row>
    <row r="161" spans="1:38" s="263" customFormat="1">
      <c r="A161" s="261">
        <v>514</v>
      </c>
      <c r="B161" s="262" t="s">
        <v>121</v>
      </c>
      <c r="C161" s="262" t="s">
        <v>200</v>
      </c>
      <c r="D161" s="262" t="s">
        <v>200</v>
      </c>
      <c r="E161" s="262" t="s">
        <v>200</v>
      </c>
      <c r="F161" s="260" t="s">
        <v>200</v>
      </c>
      <c r="G161" s="252" t="s">
        <v>834</v>
      </c>
      <c r="H161" s="263" t="s">
        <v>200</v>
      </c>
      <c r="I161" s="262" t="s">
        <v>801</v>
      </c>
      <c r="J161" s="263">
        <v>1</v>
      </c>
      <c r="K161" s="262" t="s">
        <v>44</v>
      </c>
      <c r="L161" s="263" t="s">
        <v>200</v>
      </c>
      <c r="M161" s="262" t="s">
        <v>331</v>
      </c>
      <c r="N161" s="262" t="s">
        <v>856</v>
      </c>
      <c r="O161" s="262" t="s">
        <v>128</v>
      </c>
      <c r="P161" s="262"/>
      <c r="Q161" s="262"/>
      <c r="R161" s="262"/>
      <c r="S161" s="262"/>
      <c r="T161" s="262"/>
      <c r="V161" s="262" t="s">
        <v>34</v>
      </c>
      <c r="W161" s="264"/>
      <c r="X161" s="265"/>
      <c r="Y161" s="265"/>
      <c r="AB161" s="268"/>
      <c r="AE161" s="263">
        <v>210423</v>
      </c>
      <c r="AF161" s="262" t="s">
        <v>207</v>
      </c>
      <c r="AG161" s="263" t="s">
        <v>776</v>
      </c>
      <c r="AI161" s="48"/>
      <c r="AJ161" s="48"/>
      <c r="AK161" s="48"/>
      <c r="AL161" s="48"/>
    </row>
    <row r="162" spans="1:38" s="263" customFormat="1">
      <c r="A162" s="261">
        <v>501</v>
      </c>
      <c r="B162" s="262" t="s">
        <v>121</v>
      </c>
      <c r="C162" s="262" t="s">
        <v>200</v>
      </c>
      <c r="D162" s="262" t="s">
        <v>200</v>
      </c>
      <c r="E162" s="262" t="s">
        <v>200</v>
      </c>
      <c r="F162" s="260" t="s">
        <v>200</v>
      </c>
      <c r="G162" s="252" t="s">
        <v>834</v>
      </c>
      <c r="H162" s="263" t="s">
        <v>200</v>
      </c>
      <c r="I162" s="262" t="s">
        <v>801</v>
      </c>
      <c r="J162" s="263">
        <v>1</v>
      </c>
      <c r="K162" s="262" t="s">
        <v>44</v>
      </c>
      <c r="L162" s="263" t="s">
        <v>200</v>
      </c>
      <c r="M162" s="262" t="s">
        <v>138</v>
      </c>
      <c r="N162" s="262" t="s">
        <v>330</v>
      </c>
      <c r="O162" s="262">
        <v>10</v>
      </c>
      <c r="P162" s="262"/>
      <c r="Q162" s="262"/>
      <c r="R162" s="262"/>
      <c r="S162" s="262"/>
      <c r="T162" s="262"/>
      <c r="U162" s="262"/>
      <c r="V162" s="262" t="s">
        <v>34</v>
      </c>
      <c r="W162" s="266">
        <v>5500</v>
      </c>
      <c r="X162" s="265">
        <v>5500</v>
      </c>
      <c r="Y162" s="265">
        <v>110</v>
      </c>
      <c r="Z162" s="262"/>
      <c r="AA162" s="267"/>
      <c r="AE162" s="263">
        <v>220421</v>
      </c>
      <c r="AF162" s="263" t="s">
        <v>715</v>
      </c>
      <c r="AG162" s="263" t="s">
        <v>857</v>
      </c>
      <c r="AI162" s="48"/>
      <c r="AJ162" s="48"/>
      <c r="AK162" s="48"/>
      <c r="AL162" s="48"/>
    </row>
    <row r="163" spans="1:38" s="263" customFormat="1">
      <c r="A163" s="261">
        <v>502</v>
      </c>
      <c r="B163" s="262" t="s">
        <v>121</v>
      </c>
      <c r="C163" s="262" t="s">
        <v>200</v>
      </c>
      <c r="D163" s="262" t="s">
        <v>200</v>
      </c>
      <c r="E163" s="262" t="s">
        <v>200</v>
      </c>
      <c r="F163" s="260" t="s">
        <v>200</v>
      </c>
      <c r="G163" s="252" t="s">
        <v>834</v>
      </c>
      <c r="H163" s="263" t="s">
        <v>200</v>
      </c>
      <c r="I163" s="262" t="s">
        <v>801</v>
      </c>
      <c r="J163" s="263">
        <v>1</v>
      </c>
      <c r="K163" s="262" t="s">
        <v>44</v>
      </c>
      <c r="L163" s="263" t="s">
        <v>200</v>
      </c>
      <c r="M163" s="262" t="s">
        <v>858</v>
      </c>
      <c r="N163" s="262" t="s">
        <v>859</v>
      </c>
      <c r="O163" s="262" t="s">
        <v>314</v>
      </c>
      <c r="P163" s="262"/>
      <c r="Q163" s="262"/>
      <c r="R163" s="262"/>
      <c r="S163" s="262"/>
      <c r="T163" s="262"/>
      <c r="U163" s="262"/>
      <c r="V163" s="262" t="s">
        <v>34</v>
      </c>
      <c r="W163" s="266">
        <v>7500</v>
      </c>
      <c r="X163" s="265">
        <v>7500</v>
      </c>
      <c r="Y163" s="265">
        <v>150</v>
      </c>
      <c r="AE163" s="263">
        <v>221015</v>
      </c>
      <c r="AF163" s="263" t="s">
        <v>715</v>
      </c>
      <c r="AG163" s="263" t="s">
        <v>860</v>
      </c>
      <c r="AI163" s="48"/>
      <c r="AJ163" s="48"/>
      <c r="AK163" s="48"/>
      <c r="AL163" s="48"/>
    </row>
    <row r="164" spans="1:38" s="263" customFormat="1">
      <c r="A164" s="261">
        <v>504</v>
      </c>
      <c r="B164" s="262" t="s">
        <v>121</v>
      </c>
      <c r="C164" s="262" t="s">
        <v>200</v>
      </c>
      <c r="D164" s="262" t="s">
        <v>200</v>
      </c>
      <c r="E164" s="262" t="s">
        <v>200</v>
      </c>
      <c r="F164" s="260" t="s">
        <v>200</v>
      </c>
      <c r="G164" s="252" t="s">
        <v>834</v>
      </c>
      <c r="H164" s="263" t="s">
        <v>200</v>
      </c>
      <c r="I164" s="262" t="s">
        <v>801</v>
      </c>
      <c r="J164" s="263">
        <v>1</v>
      </c>
      <c r="K164" s="262" t="s">
        <v>861</v>
      </c>
      <c r="L164" s="263" t="s">
        <v>200</v>
      </c>
      <c r="M164" s="262" t="s">
        <v>862</v>
      </c>
      <c r="N164" s="262" t="s">
        <v>863</v>
      </c>
      <c r="O164" s="262" t="s">
        <v>314</v>
      </c>
      <c r="P164" s="262"/>
      <c r="Q164" s="262"/>
      <c r="R164" s="262"/>
      <c r="S164" s="262"/>
      <c r="T164" s="262"/>
      <c r="U164" s="262"/>
      <c r="V164" s="262" t="s">
        <v>34</v>
      </c>
      <c r="W164" s="264">
        <v>1000</v>
      </c>
      <c r="X164" s="265">
        <v>1000</v>
      </c>
      <c r="Y164" s="265">
        <v>20</v>
      </c>
      <c r="Z164" s="269"/>
      <c r="AA164" s="267"/>
      <c r="AE164" s="263" t="s">
        <v>675</v>
      </c>
      <c r="AF164" s="260" t="s">
        <v>782</v>
      </c>
      <c r="AG164" s="263" t="s">
        <v>864</v>
      </c>
      <c r="AI164" s="48"/>
      <c r="AJ164" s="48"/>
      <c r="AK164" s="48"/>
      <c r="AL164" s="48"/>
    </row>
    <row r="165" spans="1:38" s="263" customFormat="1">
      <c r="A165" s="261">
        <v>505</v>
      </c>
      <c r="B165" s="262" t="s">
        <v>121</v>
      </c>
      <c r="C165" s="262" t="s">
        <v>200</v>
      </c>
      <c r="D165" s="262" t="s">
        <v>200</v>
      </c>
      <c r="E165" s="262" t="s">
        <v>200</v>
      </c>
      <c r="F165" s="260" t="s">
        <v>200</v>
      </c>
      <c r="G165" s="252" t="s">
        <v>834</v>
      </c>
      <c r="H165" s="263" t="s">
        <v>200</v>
      </c>
      <c r="I165" s="262" t="s">
        <v>801</v>
      </c>
      <c r="J165" s="263">
        <v>1</v>
      </c>
      <c r="K165" s="262" t="s">
        <v>861</v>
      </c>
      <c r="L165" s="263" t="s">
        <v>200</v>
      </c>
      <c r="M165" s="262" t="s">
        <v>862</v>
      </c>
      <c r="N165" s="262" t="s">
        <v>865</v>
      </c>
      <c r="O165" s="262" t="s">
        <v>314</v>
      </c>
      <c r="P165" s="262"/>
      <c r="Q165" s="262"/>
      <c r="R165" s="262"/>
      <c r="S165" s="262"/>
      <c r="T165" s="262"/>
      <c r="U165" s="262"/>
      <c r="V165" s="262" t="s">
        <v>34</v>
      </c>
      <c r="W165" s="264">
        <v>1000</v>
      </c>
      <c r="X165" s="265">
        <v>1000</v>
      </c>
      <c r="Y165" s="265">
        <v>20</v>
      </c>
      <c r="Z165" s="269"/>
      <c r="AA165" s="270"/>
      <c r="AE165" s="263" t="s">
        <v>675</v>
      </c>
      <c r="AF165" s="260" t="s">
        <v>782</v>
      </c>
      <c r="AG165" s="263" t="s">
        <v>864</v>
      </c>
      <c r="AI165" s="48"/>
      <c r="AJ165" s="48"/>
      <c r="AK165" s="48"/>
      <c r="AL165" s="48"/>
    </row>
    <row r="166" spans="1:38" s="263" customFormat="1">
      <c r="A166" s="261">
        <v>506</v>
      </c>
      <c r="B166" s="262" t="s">
        <v>121</v>
      </c>
      <c r="C166" s="262" t="s">
        <v>200</v>
      </c>
      <c r="D166" s="262" t="s">
        <v>200</v>
      </c>
      <c r="E166" s="262" t="s">
        <v>200</v>
      </c>
      <c r="F166" s="260" t="s">
        <v>200</v>
      </c>
      <c r="G166" s="252" t="s">
        <v>834</v>
      </c>
      <c r="H166" s="263" t="s">
        <v>200</v>
      </c>
      <c r="I166" s="262" t="s">
        <v>801</v>
      </c>
      <c r="J166" s="263">
        <v>1</v>
      </c>
      <c r="K166" s="262" t="s">
        <v>866</v>
      </c>
      <c r="L166" s="263" t="s">
        <v>200</v>
      </c>
      <c r="M166" s="262" t="s">
        <v>867</v>
      </c>
      <c r="N166" s="262"/>
      <c r="O166" s="262" t="s">
        <v>868</v>
      </c>
      <c r="P166" s="262"/>
      <c r="Q166" s="262"/>
      <c r="R166" s="262"/>
      <c r="S166" s="262"/>
      <c r="T166" s="262"/>
      <c r="U166" s="262"/>
      <c r="V166" s="262" t="s">
        <v>34</v>
      </c>
      <c r="W166" s="264">
        <v>800</v>
      </c>
      <c r="X166" s="265">
        <v>800</v>
      </c>
      <c r="Y166" s="265">
        <v>16</v>
      </c>
      <c r="Z166" s="269"/>
      <c r="AA166" s="267"/>
      <c r="AE166" s="263" t="s">
        <v>675</v>
      </c>
      <c r="AF166" s="260" t="s">
        <v>782</v>
      </c>
      <c r="AG166" s="263" t="s">
        <v>864</v>
      </c>
      <c r="AI166" s="48"/>
      <c r="AJ166" s="48"/>
      <c r="AK166" s="48"/>
      <c r="AL166" s="48"/>
    </row>
    <row r="167" spans="1:38" s="263" customFormat="1">
      <c r="A167" s="261">
        <v>507</v>
      </c>
      <c r="B167" s="262" t="s">
        <v>121</v>
      </c>
      <c r="C167" s="262" t="s">
        <v>200</v>
      </c>
      <c r="D167" s="262" t="s">
        <v>200</v>
      </c>
      <c r="E167" s="262" t="s">
        <v>200</v>
      </c>
      <c r="F167" s="260" t="s">
        <v>200</v>
      </c>
      <c r="G167" s="252" t="s">
        <v>834</v>
      </c>
      <c r="H167" s="263" t="s">
        <v>200</v>
      </c>
      <c r="I167" s="262" t="s">
        <v>801</v>
      </c>
      <c r="J167" s="263">
        <v>1</v>
      </c>
      <c r="K167" s="262" t="s">
        <v>869</v>
      </c>
      <c r="L167" s="263" t="s">
        <v>200</v>
      </c>
      <c r="M167" s="262" t="s">
        <v>870</v>
      </c>
      <c r="N167" s="262" t="s">
        <v>871</v>
      </c>
      <c r="O167" s="262" t="s">
        <v>872</v>
      </c>
      <c r="P167" s="262"/>
      <c r="Q167" s="262"/>
      <c r="R167" s="262"/>
      <c r="S167" s="262"/>
      <c r="T167" s="262"/>
      <c r="V167" s="262" t="s">
        <v>34</v>
      </c>
      <c r="W167" s="264">
        <v>1000</v>
      </c>
      <c r="X167" s="265">
        <v>1000</v>
      </c>
      <c r="Y167" s="265">
        <v>20</v>
      </c>
      <c r="Z167" s="269"/>
      <c r="AA167" s="267"/>
      <c r="AE167" s="263" t="s">
        <v>675</v>
      </c>
      <c r="AF167" s="260" t="s">
        <v>782</v>
      </c>
      <c r="AG167" s="263" t="s">
        <v>864</v>
      </c>
      <c r="AI167" s="48"/>
      <c r="AJ167" s="48"/>
      <c r="AK167" s="48"/>
      <c r="AL167" s="48"/>
    </row>
    <row r="168" spans="1:38" s="263" customFormat="1">
      <c r="A168" s="261">
        <v>509</v>
      </c>
      <c r="B168" s="262" t="s">
        <v>121</v>
      </c>
      <c r="C168" s="262" t="s">
        <v>200</v>
      </c>
      <c r="D168" s="262" t="s">
        <v>200</v>
      </c>
      <c r="E168" s="262" t="s">
        <v>200</v>
      </c>
      <c r="F168" s="260" t="s">
        <v>200</v>
      </c>
      <c r="G168" s="252" t="s">
        <v>834</v>
      </c>
      <c r="H168" s="263" t="s">
        <v>200</v>
      </c>
      <c r="I168" s="262" t="s">
        <v>801</v>
      </c>
      <c r="J168" s="263">
        <v>1</v>
      </c>
      <c r="K168" s="262" t="s">
        <v>229</v>
      </c>
      <c r="L168" s="263" t="s">
        <v>200</v>
      </c>
      <c r="M168" s="262" t="s">
        <v>873</v>
      </c>
      <c r="N168" s="262" t="s">
        <v>874</v>
      </c>
      <c r="O168" s="262" t="s">
        <v>875</v>
      </c>
      <c r="P168" s="262"/>
      <c r="Q168" s="262"/>
      <c r="R168" s="262"/>
      <c r="S168" s="262"/>
      <c r="T168" s="262"/>
      <c r="V168" s="262" t="s">
        <v>34</v>
      </c>
      <c r="W168" s="264">
        <v>4000</v>
      </c>
      <c r="X168" s="265">
        <v>4000</v>
      </c>
      <c r="Y168" s="265">
        <v>80</v>
      </c>
      <c r="Z168" s="269"/>
      <c r="AA168" s="267"/>
      <c r="AE168" s="263" t="s">
        <v>675</v>
      </c>
      <c r="AF168" s="260" t="s">
        <v>782</v>
      </c>
      <c r="AG168" s="263" t="s">
        <v>864</v>
      </c>
      <c r="AI168" s="48"/>
      <c r="AJ168" s="48"/>
      <c r="AK168" s="48"/>
      <c r="AL168" s="48"/>
    </row>
    <row r="169" spans="1:38" s="263" customFormat="1">
      <c r="A169" s="261">
        <v>508</v>
      </c>
      <c r="B169" s="262" t="s">
        <v>121</v>
      </c>
      <c r="C169" s="262" t="s">
        <v>200</v>
      </c>
      <c r="D169" s="262" t="s">
        <v>200</v>
      </c>
      <c r="E169" s="262" t="s">
        <v>200</v>
      </c>
      <c r="F169" s="260" t="s">
        <v>200</v>
      </c>
      <c r="G169" s="252" t="s">
        <v>834</v>
      </c>
      <c r="H169" s="263" t="s">
        <v>200</v>
      </c>
      <c r="I169" s="262" t="s">
        <v>801</v>
      </c>
      <c r="J169" s="263">
        <v>1</v>
      </c>
      <c r="K169" s="262" t="s">
        <v>44</v>
      </c>
      <c r="L169" s="263" t="s">
        <v>200</v>
      </c>
      <c r="M169" s="262" t="s">
        <v>876</v>
      </c>
      <c r="N169" s="262" t="s">
        <v>877</v>
      </c>
      <c r="O169" s="262" t="s">
        <v>128</v>
      </c>
      <c r="P169" s="262"/>
      <c r="Q169" s="262"/>
      <c r="R169" s="262"/>
      <c r="S169" s="262"/>
      <c r="T169" s="262"/>
      <c r="U169" s="262"/>
      <c r="V169" s="262" t="s">
        <v>34</v>
      </c>
      <c r="W169" s="264">
        <v>5000</v>
      </c>
      <c r="X169" s="265">
        <v>5000</v>
      </c>
      <c r="Y169" s="265">
        <v>100</v>
      </c>
      <c r="Z169" s="269"/>
      <c r="AA169" s="267"/>
      <c r="AE169" s="263">
        <v>200220</v>
      </c>
      <c r="AF169" s="263" t="s">
        <v>782</v>
      </c>
      <c r="AG169" s="263" t="s">
        <v>776</v>
      </c>
      <c r="AI169" s="48"/>
      <c r="AJ169" s="48"/>
      <c r="AK169" s="48"/>
      <c r="AL169" s="48"/>
    </row>
    <row r="170" spans="1:38" s="263" customFormat="1">
      <c r="A170" s="261">
        <v>510</v>
      </c>
      <c r="B170" s="262" t="s">
        <v>121</v>
      </c>
      <c r="C170" s="262" t="s">
        <v>200</v>
      </c>
      <c r="D170" s="262" t="s">
        <v>200</v>
      </c>
      <c r="E170" s="262" t="s">
        <v>200</v>
      </c>
      <c r="F170" s="260" t="s">
        <v>200</v>
      </c>
      <c r="G170" s="252" t="s">
        <v>834</v>
      </c>
      <c r="H170" s="263" t="s">
        <v>200</v>
      </c>
      <c r="I170" s="262" t="s">
        <v>801</v>
      </c>
      <c r="J170" s="263">
        <v>1</v>
      </c>
      <c r="K170" s="262" t="s">
        <v>44</v>
      </c>
      <c r="L170" s="263" t="s">
        <v>200</v>
      </c>
      <c r="M170" s="262" t="s">
        <v>138</v>
      </c>
      <c r="N170" s="262" t="s">
        <v>878</v>
      </c>
      <c r="O170" s="262" t="s">
        <v>128</v>
      </c>
      <c r="P170" s="262"/>
      <c r="Q170" s="262"/>
      <c r="R170" s="262"/>
      <c r="S170" s="262"/>
      <c r="T170" s="262"/>
      <c r="V170" s="262" t="s">
        <v>34</v>
      </c>
      <c r="W170" s="264">
        <v>3000</v>
      </c>
      <c r="X170" s="265">
        <v>3000</v>
      </c>
      <c r="Y170" s="265">
        <v>60</v>
      </c>
      <c r="AE170" s="263" t="s">
        <v>675</v>
      </c>
      <c r="AF170" s="263" t="s">
        <v>782</v>
      </c>
      <c r="AG170" s="263" t="s">
        <v>864</v>
      </c>
      <c r="AI170" s="48"/>
      <c r="AJ170" s="48"/>
      <c r="AK170" s="48"/>
      <c r="AL170" s="48"/>
    </row>
    <row r="171" spans="1:38" s="263" customFormat="1">
      <c r="A171" s="261">
        <v>512</v>
      </c>
      <c r="B171" s="262" t="s">
        <v>121</v>
      </c>
      <c r="C171" s="262" t="s">
        <v>200</v>
      </c>
      <c r="D171" s="262" t="s">
        <v>200</v>
      </c>
      <c r="E171" s="262" t="s">
        <v>200</v>
      </c>
      <c r="F171" s="260" t="s">
        <v>200</v>
      </c>
      <c r="G171" s="252" t="s">
        <v>834</v>
      </c>
      <c r="H171" s="263" t="s">
        <v>200</v>
      </c>
      <c r="I171" s="262" t="s">
        <v>801</v>
      </c>
      <c r="J171" s="263">
        <v>1</v>
      </c>
      <c r="K171" s="262" t="s">
        <v>44</v>
      </c>
      <c r="L171" s="263" t="s">
        <v>200</v>
      </c>
      <c r="M171" s="262" t="s">
        <v>126</v>
      </c>
      <c r="N171" s="262" t="s">
        <v>879</v>
      </c>
      <c r="O171" s="262" t="s">
        <v>855</v>
      </c>
      <c r="P171" s="262"/>
      <c r="Q171" s="262"/>
      <c r="R171" s="262"/>
      <c r="S171" s="262"/>
      <c r="T171" s="262"/>
      <c r="V171" s="262" t="s">
        <v>34</v>
      </c>
      <c r="W171" s="264">
        <v>3000</v>
      </c>
      <c r="X171" s="265">
        <v>3000</v>
      </c>
      <c r="Y171" s="265">
        <v>60</v>
      </c>
      <c r="AB171" s="268"/>
      <c r="AE171" s="263" t="s">
        <v>675</v>
      </c>
      <c r="AF171" s="263" t="s">
        <v>782</v>
      </c>
      <c r="AG171" s="263" t="s">
        <v>864</v>
      </c>
      <c r="AI171" s="48"/>
      <c r="AJ171" s="48"/>
      <c r="AK171" s="48"/>
      <c r="AL171" s="48"/>
    </row>
    <row r="172" spans="1:38" s="263" customFormat="1">
      <c r="A172" s="261">
        <v>515</v>
      </c>
      <c r="B172" s="262" t="s">
        <v>121</v>
      </c>
      <c r="C172" s="262" t="s">
        <v>200</v>
      </c>
      <c r="D172" s="262" t="s">
        <v>200</v>
      </c>
      <c r="E172" s="262" t="s">
        <v>200</v>
      </c>
      <c r="F172" s="260" t="s">
        <v>200</v>
      </c>
      <c r="G172" s="252" t="s">
        <v>834</v>
      </c>
      <c r="H172" s="263" t="s">
        <v>200</v>
      </c>
      <c r="I172" s="262" t="s">
        <v>801</v>
      </c>
      <c r="J172" s="263">
        <v>1</v>
      </c>
      <c r="K172" s="262" t="s">
        <v>44</v>
      </c>
      <c r="L172" s="263" t="s">
        <v>200</v>
      </c>
      <c r="M172" s="262" t="s">
        <v>138</v>
      </c>
      <c r="N172" s="262" t="s">
        <v>880</v>
      </c>
      <c r="O172" s="262" t="s">
        <v>128</v>
      </c>
      <c r="P172" s="262"/>
      <c r="Q172" s="262"/>
      <c r="R172" s="262"/>
      <c r="S172" s="262"/>
      <c r="T172" s="262"/>
      <c r="V172" s="262" t="s">
        <v>34</v>
      </c>
      <c r="W172" s="264"/>
      <c r="X172" s="265"/>
      <c r="Y172" s="265"/>
      <c r="AB172" s="268"/>
      <c r="AE172" s="263">
        <v>220421</v>
      </c>
      <c r="AF172" s="262" t="s">
        <v>782</v>
      </c>
      <c r="AG172" s="263" t="s">
        <v>761</v>
      </c>
      <c r="AI172" s="48"/>
      <c r="AJ172" s="48"/>
      <c r="AK172" s="48"/>
      <c r="AL172" s="48"/>
    </row>
    <row r="173" spans="1:38" s="263" customFormat="1">
      <c r="A173" s="261">
        <v>517</v>
      </c>
      <c r="B173" s="262" t="s">
        <v>121</v>
      </c>
      <c r="C173" s="262" t="s">
        <v>200</v>
      </c>
      <c r="D173" s="262" t="s">
        <v>200</v>
      </c>
      <c r="E173" s="262" t="s">
        <v>200</v>
      </c>
      <c r="F173" s="260" t="s">
        <v>200</v>
      </c>
      <c r="G173" s="252" t="s">
        <v>834</v>
      </c>
      <c r="H173" s="263" t="s">
        <v>200</v>
      </c>
      <c r="I173" s="262" t="s">
        <v>801</v>
      </c>
      <c r="J173" s="263">
        <v>1</v>
      </c>
      <c r="K173" s="262" t="s">
        <v>44</v>
      </c>
      <c r="L173" s="263" t="s">
        <v>200</v>
      </c>
      <c r="M173" s="262" t="s">
        <v>881</v>
      </c>
      <c r="N173" s="262"/>
      <c r="O173" s="262" t="s">
        <v>128</v>
      </c>
      <c r="P173" s="262"/>
      <c r="Q173" s="262"/>
      <c r="R173" s="262"/>
      <c r="S173" s="262"/>
      <c r="T173" s="262"/>
      <c r="V173" s="262" t="s">
        <v>34</v>
      </c>
      <c r="W173" s="264"/>
      <c r="X173" s="265"/>
      <c r="Y173" s="265"/>
      <c r="AB173" s="268"/>
      <c r="AE173" s="263">
        <v>220902</v>
      </c>
      <c r="AF173" s="262" t="s">
        <v>782</v>
      </c>
      <c r="AG173" s="263" t="s">
        <v>761</v>
      </c>
      <c r="AI173" s="48"/>
      <c r="AJ173" s="48"/>
      <c r="AK173" s="48"/>
      <c r="AL173" s="48"/>
    </row>
    <row r="174" spans="1:38" s="263" customFormat="1">
      <c r="A174" s="261">
        <v>518</v>
      </c>
      <c r="B174" s="262" t="s">
        <v>121</v>
      </c>
      <c r="C174" s="262" t="s">
        <v>200</v>
      </c>
      <c r="D174" s="262" t="s">
        <v>200</v>
      </c>
      <c r="E174" s="262" t="s">
        <v>200</v>
      </c>
      <c r="F174" s="260" t="s">
        <v>200</v>
      </c>
      <c r="G174" s="252" t="s">
        <v>834</v>
      </c>
      <c r="H174" s="263" t="s">
        <v>200</v>
      </c>
      <c r="I174" s="262" t="s">
        <v>801</v>
      </c>
      <c r="J174" s="263">
        <v>1</v>
      </c>
      <c r="K174" s="262" t="s">
        <v>44</v>
      </c>
      <c r="L174" s="263" t="s">
        <v>200</v>
      </c>
      <c r="M174" s="262" t="s">
        <v>882</v>
      </c>
      <c r="N174" s="262" t="s">
        <v>478</v>
      </c>
      <c r="O174" s="262" t="s">
        <v>128</v>
      </c>
      <c r="P174" s="262"/>
      <c r="Q174" s="262"/>
      <c r="R174" s="262"/>
      <c r="S174" s="262"/>
      <c r="T174" s="262"/>
      <c r="V174" s="262" t="s">
        <v>34</v>
      </c>
      <c r="W174" s="264"/>
      <c r="X174" s="265"/>
      <c r="Y174" s="265"/>
      <c r="AB174" s="268"/>
      <c r="AE174" s="263">
        <v>221215</v>
      </c>
      <c r="AF174" s="262" t="s">
        <v>775</v>
      </c>
      <c r="AG174" s="263" t="s">
        <v>761</v>
      </c>
      <c r="AI174" s="48"/>
      <c r="AJ174" s="48"/>
      <c r="AK174" s="48"/>
      <c r="AL174" s="48"/>
    </row>
    <row r="175" spans="1:38" s="263" customFormat="1">
      <c r="A175" s="261">
        <v>516</v>
      </c>
      <c r="B175" s="262" t="s">
        <v>121</v>
      </c>
      <c r="C175" s="262" t="s">
        <v>200</v>
      </c>
      <c r="D175" s="262" t="s">
        <v>200</v>
      </c>
      <c r="E175" s="262" t="s">
        <v>200</v>
      </c>
      <c r="F175" s="260" t="s">
        <v>200</v>
      </c>
      <c r="G175" s="252" t="s">
        <v>834</v>
      </c>
      <c r="H175" s="263" t="s">
        <v>200</v>
      </c>
      <c r="I175" s="262" t="s">
        <v>801</v>
      </c>
      <c r="J175" s="263">
        <v>1</v>
      </c>
      <c r="K175" s="262" t="s">
        <v>44</v>
      </c>
      <c r="L175" s="263" t="s">
        <v>200</v>
      </c>
      <c r="M175" s="262" t="s">
        <v>312</v>
      </c>
      <c r="N175" s="262" t="s">
        <v>313</v>
      </c>
      <c r="O175" s="262" t="s">
        <v>314</v>
      </c>
      <c r="P175" s="262"/>
      <c r="Q175" s="262"/>
      <c r="R175" s="262"/>
      <c r="S175" s="262"/>
      <c r="T175" s="262"/>
      <c r="V175" s="262" t="s">
        <v>34</v>
      </c>
      <c r="W175" s="264"/>
      <c r="X175" s="265"/>
      <c r="Y175" s="265"/>
      <c r="AB175" s="268"/>
      <c r="AE175" s="263">
        <v>210425</v>
      </c>
      <c r="AF175" s="262" t="s">
        <v>207</v>
      </c>
      <c r="AG175" s="263" t="s">
        <v>764</v>
      </c>
      <c r="AI175" s="48"/>
      <c r="AJ175" s="48"/>
      <c r="AK175" s="48"/>
      <c r="AL175" s="48"/>
    </row>
    <row r="176" spans="1:38" s="263" customFormat="1" ht="15">
      <c r="A176" s="271">
        <v>2302</v>
      </c>
      <c r="B176" s="272" t="s">
        <v>1083</v>
      </c>
      <c r="C176" s="272" t="s">
        <v>200</v>
      </c>
      <c r="D176" s="272" t="s">
        <v>200</v>
      </c>
      <c r="E176" s="273" t="s">
        <v>200</v>
      </c>
      <c r="F176" s="272" t="s">
        <v>200</v>
      </c>
      <c r="G176" s="263" t="s">
        <v>834</v>
      </c>
      <c r="H176" s="272" t="s">
        <v>200</v>
      </c>
      <c r="I176" s="272" t="s">
        <v>801</v>
      </c>
      <c r="J176" s="263">
        <v>1</v>
      </c>
      <c r="K176" s="272" t="s">
        <v>1084</v>
      </c>
      <c r="L176" s="272" t="s">
        <v>200</v>
      </c>
      <c r="M176" s="272"/>
      <c r="N176" s="272"/>
      <c r="O176" s="272"/>
      <c r="P176" s="272"/>
      <c r="Q176" s="272"/>
      <c r="R176" s="272"/>
      <c r="S176" s="272"/>
      <c r="T176" s="272"/>
      <c r="U176" s="272"/>
      <c r="V176" s="274" t="s">
        <v>34</v>
      </c>
      <c r="W176" s="274">
        <v>100</v>
      </c>
      <c r="X176" s="274">
        <v>2</v>
      </c>
      <c r="Y176" s="272"/>
      <c r="Z176" s="272"/>
      <c r="AA176" s="272"/>
      <c r="AE176" s="272" t="s">
        <v>675</v>
      </c>
      <c r="AF176" s="272" t="s">
        <v>782</v>
      </c>
      <c r="AG176" s="272" t="s">
        <v>864</v>
      </c>
      <c r="AI176" s="48"/>
      <c r="AJ176" s="48"/>
      <c r="AK176" s="48"/>
      <c r="AL176" s="48"/>
    </row>
    <row r="177" spans="1:38" s="263" customFormat="1" ht="15">
      <c r="A177" s="271">
        <v>2200</v>
      </c>
      <c r="B177" s="272" t="s">
        <v>1045</v>
      </c>
      <c r="C177" s="272" t="s">
        <v>200</v>
      </c>
      <c r="D177" s="272" t="s">
        <v>200</v>
      </c>
      <c r="E177" s="273" t="s">
        <v>200</v>
      </c>
      <c r="F177" s="272" t="s">
        <v>200</v>
      </c>
      <c r="G177" s="263" t="s">
        <v>834</v>
      </c>
      <c r="H177" s="272" t="s">
        <v>200</v>
      </c>
      <c r="I177" s="272" t="s">
        <v>801</v>
      </c>
      <c r="J177" s="263">
        <v>1</v>
      </c>
      <c r="K177" s="272" t="s">
        <v>1095</v>
      </c>
      <c r="L177" s="272" t="s">
        <v>200</v>
      </c>
      <c r="M177" s="272" t="s">
        <v>1096</v>
      </c>
      <c r="N177" s="272"/>
      <c r="O177" s="272"/>
      <c r="P177" s="272"/>
      <c r="Q177" s="272"/>
      <c r="R177" s="272"/>
      <c r="S177" s="272"/>
      <c r="T177" s="272"/>
      <c r="U177" s="272"/>
      <c r="V177" s="274" t="s">
        <v>34</v>
      </c>
      <c r="W177" s="274"/>
      <c r="X177" s="274"/>
      <c r="Y177" s="272"/>
      <c r="Z177" s="272"/>
      <c r="AA177" s="272"/>
      <c r="AE177" s="272" t="s">
        <v>675</v>
      </c>
      <c r="AF177" s="272" t="s">
        <v>782</v>
      </c>
      <c r="AG177" s="272" t="s">
        <v>864</v>
      </c>
      <c r="AI177" s="48"/>
      <c r="AJ177" s="48"/>
      <c r="AK177" s="48"/>
      <c r="AL177" s="48"/>
    </row>
    <row r="178" spans="1:38" s="263" customFormat="1" ht="15">
      <c r="A178" s="271">
        <v>2201</v>
      </c>
      <c r="B178" s="272" t="s">
        <v>1045</v>
      </c>
      <c r="C178" s="272" t="s">
        <v>200</v>
      </c>
      <c r="D178" s="272" t="s">
        <v>200</v>
      </c>
      <c r="E178" s="273" t="s">
        <v>200</v>
      </c>
      <c r="F178" s="272" t="s">
        <v>200</v>
      </c>
      <c r="G178" s="263" t="s">
        <v>834</v>
      </c>
      <c r="H178" s="272" t="s">
        <v>200</v>
      </c>
      <c r="I178" s="272" t="s">
        <v>801</v>
      </c>
      <c r="J178" s="263">
        <v>1</v>
      </c>
      <c r="K178" s="272" t="s">
        <v>1097</v>
      </c>
      <c r="L178" s="272" t="s">
        <v>200</v>
      </c>
      <c r="M178" s="272" t="s">
        <v>1098</v>
      </c>
      <c r="N178" s="272"/>
      <c r="O178" s="272"/>
      <c r="P178" s="272"/>
      <c r="Q178" s="272"/>
      <c r="R178" s="272"/>
      <c r="S178" s="272"/>
      <c r="T178" s="272"/>
      <c r="U178" s="272"/>
      <c r="V178" s="274" t="s">
        <v>34</v>
      </c>
      <c r="W178" s="274"/>
      <c r="X178" s="274"/>
      <c r="Y178" s="272"/>
      <c r="Z178" s="272"/>
      <c r="AA178" s="272"/>
      <c r="AE178" s="272" t="s">
        <v>675</v>
      </c>
      <c r="AF178" s="272" t="s">
        <v>782</v>
      </c>
      <c r="AG178" s="272" t="s">
        <v>864</v>
      </c>
      <c r="AI178" s="48"/>
      <c r="AJ178" s="48"/>
      <c r="AK178" s="48"/>
      <c r="AL178" s="48"/>
    </row>
    <row r="179" spans="1:38" s="263" customFormat="1" ht="15">
      <c r="A179" s="271">
        <v>9006</v>
      </c>
      <c r="B179" s="272" t="s">
        <v>1085</v>
      </c>
      <c r="C179" s="272" t="s">
        <v>200</v>
      </c>
      <c r="D179" s="272" t="s">
        <v>200</v>
      </c>
      <c r="E179" s="273" t="s">
        <v>200</v>
      </c>
      <c r="F179" s="272" t="s">
        <v>200</v>
      </c>
      <c r="G179" s="263" t="s">
        <v>834</v>
      </c>
      <c r="H179" s="272" t="s">
        <v>200</v>
      </c>
      <c r="I179" s="272" t="s">
        <v>801</v>
      </c>
      <c r="J179" s="263">
        <v>1</v>
      </c>
      <c r="K179" s="272" t="s">
        <v>1086</v>
      </c>
      <c r="L179" s="272" t="s">
        <v>200</v>
      </c>
      <c r="M179" s="272"/>
      <c r="N179" s="272"/>
      <c r="O179" s="272"/>
      <c r="P179" s="272"/>
      <c r="Q179" s="272"/>
      <c r="R179" s="272"/>
      <c r="S179" s="272"/>
      <c r="T179" s="272"/>
      <c r="U179" s="272"/>
      <c r="V179" s="274" t="s">
        <v>34</v>
      </c>
      <c r="W179" s="274">
        <v>0</v>
      </c>
      <c r="X179" s="274">
        <v>0</v>
      </c>
      <c r="Y179" s="272"/>
      <c r="Z179" s="272"/>
      <c r="AA179" s="272"/>
      <c r="AE179" s="272">
        <v>191220</v>
      </c>
      <c r="AF179" s="272" t="s">
        <v>782</v>
      </c>
      <c r="AG179" s="272" t="s">
        <v>1087</v>
      </c>
      <c r="AI179" s="48"/>
      <c r="AJ179" s="48"/>
      <c r="AK179" s="48"/>
      <c r="AL179" s="48"/>
    </row>
    <row r="180" spans="1:38" s="263" customFormat="1" ht="15">
      <c r="A180" s="271">
        <v>9007</v>
      </c>
      <c r="B180" s="272" t="s">
        <v>1088</v>
      </c>
      <c r="C180" s="272" t="s">
        <v>200</v>
      </c>
      <c r="D180" s="272" t="s">
        <v>200</v>
      </c>
      <c r="E180" s="273" t="s">
        <v>200</v>
      </c>
      <c r="F180" s="272" t="s">
        <v>200</v>
      </c>
      <c r="G180" s="263" t="s">
        <v>834</v>
      </c>
      <c r="H180" s="272" t="s">
        <v>200</v>
      </c>
      <c r="I180" s="272" t="s">
        <v>801</v>
      </c>
      <c r="J180" s="263">
        <v>1</v>
      </c>
      <c r="K180" s="272"/>
      <c r="L180" s="272" t="s">
        <v>200</v>
      </c>
      <c r="M180" s="272"/>
      <c r="N180" s="272"/>
      <c r="O180" s="272"/>
      <c r="P180" s="272"/>
      <c r="Q180" s="272"/>
      <c r="R180" s="272"/>
      <c r="S180" s="272"/>
      <c r="T180" s="272"/>
      <c r="U180" s="272"/>
      <c r="V180" s="274" t="s">
        <v>34</v>
      </c>
      <c r="W180" s="274">
        <v>400</v>
      </c>
      <c r="X180" s="274">
        <v>8</v>
      </c>
      <c r="Y180" s="272"/>
      <c r="Z180" s="272"/>
      <c r="AA180" s="272"/>
      <c r="AE180" s="272">
        <v>200315</v>
      </c>
      <c r="AF180" s="272" t="s">
        <v>782</v>
      </c>
      <c r="AG180" s="272" t="s">
        <v>893</v>
      </c>
      <c r="AI180" s="48"/>
      <c r="AJ180" s="48"/>
      <c r="AK180" s="48"/>
      <c r="AL180" s="48"/>
    </row>
    <row r="181" spans="1:38" s="263" customFormat="1" ht="15">
      <c r="A181" s="271">
        <v>9009</v>
      </c>
      <c r="B181" s="272" t="s">
        <v>1089</v>
      </c>
      <c r="C181" s="272" t="s">
        <v>200</v>
      </c>
      <c r="D181" s="272" t="s">
        <v>200</v>
      </c>
      <c r="E181" s="273" t="s">
        <v>200</v>
      </c>
      <c r="F181" s="272" t="s">
        <v>200</v>
      </c>
      <c r="G181" s="263" t="s">
        <v>834</v>
      </c>
      <c r="H181" s="272" t="s">
        <v>200</v>
      </c>
      <c r="I181" s="272" t="s">
        <v>801</v>
      </c>
      <c r="J181" s="263">
        <v>1</v>
      </c>
      <c r="K181" s="272">
        <v>20291</v>
      </c>
      <c r="L181" s="272" t="s">
        <v>200</v>
      </c>
      <c r="M181" s="272"/>
      <c r="N181" s="272"/>
      <c r="O181" s="272"/>
      <c r="P181" s="272"/>
      <c r="Q181" s="272"/>
      <c r="R181" s="272"/>
      <c r="S181" s="272"/>
      <c r="T181" s="272"/>
      <c r="U181" s="272"/>
      <c r="V181" s="274" t="s">
        <v>34</v>
      </c>
      <c r="W181" s="274">
        <v>289</v>
      </c>
      <c r="X181" s="274">
        <v>5.78</v>
      </c>
      <c r="Y181" s="272"/>
      <c r="Z181" s="272"/>
      <c r="AA181" s="272"/>
      <c r="AE181" s="272">
        <v>200315</v>
      </c>
      <c r="AF181" s="272" t="s">
        <v>782</v>
      </c>
      <c r="AG181" s="272" t="s">
        <v>893</v>
      </c>
      <c r="AI181" s="48"/>
      <c r="AJ181" s="48"/>
      <c r="AK181" s="48"/>
      <c r="AL181" s="48"/>
    </row>
    <row r="182" spans="1:38" s="263" customFormat="1" ht="15">
      <c r="A182" s="271">
        <v>9010</v>
      </c>
      <c r="B182" s="272" t="s">
        <v>1090</v>
      </c>
      <c r="C182" s="272" t="s">
        <v>200</v>
      </c>
      <c r="D182" s="272" t="s">
        <v>200</v>
      </c>
      <c r="E182" s="273" t="s">
        <v>200</v>
      </c>
      <c r="F182" s="272" t="s">
        <v>200</v>
      </c>
      <c r="G182" s="263" t="s">
        <v>834</v>
      </c>
      <c r="H182" s="272" t="s">
        <v>200</v>
      </c>
      <c r="I182" s="272" t="s">
        <v>801</v>
      </c>
      <c r="J182" s="263">
        <v>1</v>
      </c>
      <c r="K182" s="272"/>
      <c r="L182" s="272" t="s">
        <v>200</v>
      </c>
      <c r="M182" s="271">
        <v>4586201418180</v>
      </c>
      <c r="N182" s="272"/>
      <c r="O182" s="272"/>
      <c r="P182" s="272"/>
      <c r="Q182" s="272"/>
      <c r="R182" s="272"/>
      <c r="S182" s="272"/>
      <c r="T182" s="272"/>
      <c r="U182" s="272"/>
      <c r="V182" s="274" t="s">
        <v>34</v>
      </c>
      <c r="W182" s="274">
        <v>1386</v>
      </c>
      <c r="X182" s="274">
        <v>27.72</v>
      </c>
      <c r="Y182" s="272"/>
      <c r="Z182" s="272"/>
      <c r="AA182" s="272"/>
      <c r="AE182" s="272" t="s">
        <v>675</v>
      </c>
      <c r="AF182" s="272" t="s">
        <v>782</v>
      </c>
      <c r="AG182" s="272" t="s">
        <v>864</v>
      </c>
      <c r="AI182" s="48"/>
      <c r="AJ182" s="48"/>
      <c r="AK182" s="48"/>
      <c r="AL182" s="48"/>
    </row>
    <row r="183" spans="1:38" s="263" customFormat="1" ht="15">
      <c r="A183" s="271">
        <v>9011</v>
      </c>
      <c r="B183" s="272" t="s">
        <v>1091</v>
      </c>
      <c r="C183" s="272" t="s">
        <v>200</v>
      </c>
      <c r="D183" s="272" t="s">
        <v>200</v>
      </c>
      <c r="E183" s="273" t="s">
        <v>200</v>
      </c>
      <c r="F183" s="272" t="s">
        <v>200</v>
      </c>
      <c r="G183" s="263" t="s">
        <v>834</v>
      </c>
      <c r="H183" s="272" t="s">
        <v>200</v>
      </c>
      <c r="I183" s="272" t="s">
        <v>801</v>
      </c>
      <c r="J183" s="263">
        <v>1</v>
      </c>
      <c r="K183" s="272"/>
      <c r="L183" s="272" t="s">
        <v>200</v>
      </c>
      <c r="M183" s="272"/>
      <c r="N183" s="272"/>
      <c r="O183" s="272"/>
      <c r="P183" s="272"/>
      <c r="Q183" s="272"/>
      <c r="R183" s="272"/>
      <c r="S183" s="272"/>
      <c r="T183" s="272"/>
      <c r="U183" s="272"/>
      <c r="V183" s="274" t="s">
        <v>34</v>
      </c>
      <c r="W183" s="274">
        <v>26100</v>
      </c>
      <c r="X183" s="274">
        <v>522</v>
      </c>
      <c r="Y183" s="272"/>
      <c r="Z183" s="272"/>
      <c r="AA183" s="272"/>
      <c r="AE183" s="272" t="s">
        <v>675</v>
      </c>
      <c r="AF183" s="272" t="s">
        <v>782</v>
      </c>
      <c r="AG183" s="272" t="s">
        <v>864</v>
      </c>
      <c r="AI183" s="48"/>
      <c r="AJ183" s="48"/>
      <c r="AK183" s="48"/>
      <c r="AL183" s="48"/>
    </row>
    <row r="184" spans="1:38" s="263" customFormat="1" ht="15">
      <c r="A184" s="271">
        <v>9012</v>
      </c>
      <c r="B184" s="272" t="s">
        <v>1092</v>
      </c>
      <c r="C184" s="272" t="s">
        <v>200</v>
      </c>
      <c r="D184" s="272" t="s">
        <v>200</v>
      </c>
      <c r="E184" s="273" t="s">
        <v>200</v>
      </c>
      <c r="F184" s="272" t="s">
        <v>200</v>
      </c>
      <c r="G184" s="263" t="s">
        <v>834</v>
      </c>
      <c r="H184" s="272" t="s">
        <v>200</v>
      </c>
      <c r="I184" s="272" t="s">
        <v>801</v>
      </c>
      <c r="J184" s="263">
        <v>1</v>
      </c>
      <c r="K184" s="281"/>
      <c r="L184" s="272" t="s">
        <v>200</v>
      </c>
      <c r="M184" s="272"/>
      <c r="N184" s="272"/>
      <c r="O184" s="272"/>
      <c r="P184" s="272"/>
      <c r="Q184" s="272"/>
      <c r="R184" s="272"/>
      <c r="S184" s="272"/>
      <c r="T184" s="272"/>
      <c r="U184" s="272"/>
      <c r="V184" s="274" t="s">
        <v>34</v>
      </c>
      <c r="W184" s="274">
        <v>3914</v>
      </c>
      <c r="X184" s="274">
        <v>78.28</v>
      </c>
      <c r="Y184" s="272"/>
      <c r="Z184" s="272"/>
      <c r="AA184" s="272"/>
      <c r="AE184" s="272" t="s">
        <v>675</v>
      </c>
      <c r="AF184" s="272" t="s">
        <v>782</v>
      </c>
      <c r="AG184" s="272" t="s">
        <v>739</v>
      </c>
      <c r="AI184" s="48"/>
      <c r="AJ184" s="48"/>
      <c r="AK184" s="48"/>
      <c r="AL184" s="48"/>
    </row>
    <row r="185" spans="1:38" s="263" customFormat="1" ht="15">
      <c r="A185" s="271">
        <v>2300</v>
      </c>
      <c r="B185" s="272" t="s">
        <v>902</v>
      </c>
      <c r="C185" s="272" t="s">
        <v>200</v>
      </c>
      <c r="D185" s="272" t="s">
        <v>200</v>
      </c>
      <c r="E185" s="273" t="s">
        <v>200</v>
      </c>
      <c r="F185" s="272" t="s">
        <v>200</v>
      </c>
      <c r="G185" s="263" t="s">
        <v>834</v>
      </c>
      <c r="H185" s="272" t="s">
        <v>200</v>
      </c>
      <c r="I185" s="272" t="s">
        <v>801</v>
      </c>
      <c r="J185" s="263">
        <v>1</v>
      </c>
      <c r="K185" s="272"/>
      <c r="L185" s="272" t="s">
        <v>200</v>
      </c>
      <c r="M185" s="272"/>
      <c r="N185" s="272"/>
      <c r="O185" s="272"/>
      <c r="P185" s="272"/>
      <c r="Q185" s="272"/>
      <c r="R185" s="272"/>
      <c r="S185" s="272"/>
      <c r="T185" s="272"/>
      <c r="U185" s="272"/>
      <c r="V185" s="274" t="s">
        <v>34</v>
      </c>
      <c r="W185" s="274"/>
      <c r="X185" s="274"/>
      <c r="Y185" s="272"/>
      <c r="Z185" s="272"/>
      <c r="AA185" s="272"/>
      <c r="AE185" s="272" t="s">
        <v>675</v>
      </c>
      <c r="AF185" s="272" t="s">
        <v>901</v>
      </c>
      <c r="AG185" s="272" t="s">
        <v>900</v>
      </c>
      <c r="AI185" s="48"/>
      <c r="AJ185" s="48"/>
      <c r="AK185" s="48"/>
      <c r="AL185" s="48"/>
    </row>
    <row r="186" spans="1:38" s="263" customFormat="1" ht="15">
      <c r="A186" s="271">
        <v>2301</v>
      </c>
      <c r="B186" s="272" t="s">
        <v>902</v>
      </c>
      <c r="C186" s="272" t="s">
        <v>200</v>
      </c>
      <c r="D186" s="272" t="s">
        <v>200</v>
      </c>
      <c r="E186" s="273" t="s">
        <v>200</v>
      </c>
      <c r="F186" s="272" t="s">
        <v>200</v>
      </c>
      <c r="G186" s="263" t="s">
        <v>834</v>
      </c>
      <c r="H186" s="272" t="s">
        <v>200</v>
      </c>
      <c r="I186" s="272" t="s">
        <v>801</v>
      </c>
      <c r="J186" s="263">
        <v>1</v>
      </c>
      <c r="K186" s="272"/>
      <c r="L186" s="272" t="s">
        <v>200</v>
      </c>
      <c r="M186" s="272"/>
      <c r="N186" s="272"/>
      <c r="O186" s="272"/>
      <c r="P186" s="272"/>
      <c r="Q186" s="272"/>
      <c r="R186" s="272"/>
      <c r="S186" s="272"/>
      <c r="T186" s="272"/>
      <c r="U186" s="272"/>
      <c r="V186" s="274" t="s">
        <v>34</v>
      </c>
      <c r="W186" s="274"/>
      <c r="X186" s="274"/>
      <c r="Y186" s="272"/>
      <c r="Z186" s="272"/>
      <c r="AA186" s="272"/>
      <c r="AE186" s="272" t="s">
        <v>675</v>
      </c>
      <c r="AF186" s="272" t="s">
        <v>782</v>
      </c>
      <c r="AG186" s="272" t="s">
        <v>864</v>
      </c>
      <c r="AI186" s="48"/>
      <c r="AJ186" s="48"/>
      <c r="AK186" s="48"/>
      <c r="AL186" s="48"/>
    </row>
    <row r="187" spans="1:38" s="141" customFormat="1" ht="15">
      <c r="A187" s="271">
        <v>9014</v>
      </c>
      <c r="B187" s="272" t="s">
        <v>1093</v>
      </c>
      <c r="C187" s="272" t="s">
        <v>200</v>
      </c>
      <c r="D187" s="272" t="s">
        <v>200</v>
      </c>
      <c r="E187" s="273" t="s">
        <v>200</v>
      </c>
      <c r="F187" s="272" t="s">
        <v>200</v>
      </c>
      <c r="G187" s="263" t="s">
        <v>834</v>
      </c>
      <c r="H187" s="272" t="s">
        <v>200</v>
      </c>
      <c r="I187" s="272" t="s">
        <v>801</v>
      </c>
      <c r="J187" s="263">
        <v>1</v>
      </c>
      <c r="K187" s="272" t="s">
        <v>1094</v>
      </c>
      <c r="L187" s="272" t="s">
        <v>200</v>
      </c>
      <c r="M187" s="272"/>
      <c r="N187" s="272"/>
      <c r="O187" s="272"/>
      <c r="P187" s="272"/>
      <c r="Q187" s="272"/>
      <c r="R187" s="272"/>
      <c r="S187" s="272"/>
      <c r="T187" s="272"/>
      <c r="U187" s="272"/>
      <c r="V187" s="274" t="s">
        <v>34</v>
      </c>
      <c r="W187" s="274">
        <v>550</v>
      </c>
      <c r="X187" s="274">
        <v>11</v>
      </c>
      <c r="Y187" s="272"/>
      <c r="Z187" s="272"/>
      <c r="AA187" s="272"/>
      <c r="AB187" s="263"/>
      <c r="AC187" s="263"/>
      <c r="AD187" s="263"/>
      <c r="AE187" s="272" t="s">
        <v>675</v>
      </c>
      <c r="AF187" s="272" t="s">
        <v>782</v>
      </c>
      <c r="AG187" s="272" t="s">
        <v>864</v>
      </c>
      <c r="AH187" s="263"/>
      <c r="AI187" s="48"/>
      <c r="AJ187" s="48"/>
      <c r="AK187" s="48"/>
      <c r="AL187" s="48"/>
    </row>
    <row r="188" spans="1:38" s="263" customFormat="1" ht="15">
      <c r="A188" s="271">
        <v>9015</v>
      </c>
      <c r="B188" s="272" t="s">
        <v>1093</v>
      </c>
      <c r="C188" s="272" t="s">
        <v>200</v>
      </c>
      <c r="D188" s="272" t="s">
        <v>200</v>
      </c>
      <c r="E188" s="272" t="s">
        <v>200</v>
      </c>
      <c r="F188" s="272" t="s">
        <v>200</v>
      </c>
      <c r="G188" s="263" t="s">
        <v>834</v>
      </c>
      <c r="H188" s="263" t="s">
        <v>200</v>
      </c>
      <c r="I188" s="272" t="s">
        <v>801</v>
      </c>
      <c r="J188" s="272">
        <v>1</v>
      </c>
      <c r="K188" s="272" t="s">
        <v>100</v>
      </c>
      <c r="L188" s="263" t="s">
        <v>200</v>
      </c>
      <c r="M188" s="272" t="s">
        <v>1094</v>
      </c>
      <c r="N188" s="272"/>
      <c r="O188" s="272"/>
      <c r="P188" s="272"/>
      <c r="Q188" s="272"/>
      <c r="R188" s="272"/>
      <c r="S188" s="272"/>
      <c r="T188" s="272"/>
      <c r="V188" s="274" t="s">
        <v>34</v>
      </c>
      <c r="W188" s="274">
        <v>550</v>
      </c>
      <c r="X188" s="274">
        <v>550</v>
      </c>
      <c r="Y188" s="274">
        <v>11</v>
      </c>
      <c r="Z188" s="272"/>
      <c r="AE188" s="272" t="s">
        <v>675</v>
      </c>
      <c r="AF188" s="272" t="s">
        <v>782</v>
      </c>
      <c r="AG188" s="272" t="s">
        <v>864</v>
      </c>
      <c r="AI188" s="48"/>
      <c r="AJ188" s="48"/>
      <c r="AK188" s="48"/>
      <c r="AL188" s="48"/>
    </row>
    <row r="189" spans="1:38" s="263" customFormat="1" ht="15">
      <c r="A189" s="271">
        <v>9036</v>
      </c>
      <c r="B189" s="272" t="s">
        <v>1099</v>
      </c>
      <c r="C189" s="272" t="s">
        <v>200</v>
      </c>
      <c r="D189" s="272" t="s">
        <v>200</v>
      </c>
      <c r="E189" s="272" t="s">
        <v>200</v>
      </c>
      <c r="F189" s="272" t="s">
        <v>200</v>
      </c>
      <c r="G189" s="263" t="s">
        <v>834</v>
      </c>
      <c r="H189" s="263" t="s">
        <v>200</v>
      </c>
      <c r="I189" s="272" t="s">
        <v>801</v>
      </c>
      <c r="J189" s="272">
        <v>1</v>
      </c>
      <c r="K189" s="272" t="s">
        <v>1100</v>
      </c>
      <c r="L189" s="263" t="s">
        <v>200</v>
      </c>
      <c r="M189" s="272" t="s">
        <v>1101</v>
      </c>
      <c r="N189" s="272" t="s">
        <v>1102</v>
      </c>
      <c r="O189" s="272"/>
      <c r="P189" s="272"/>
      <c r="Q189" s="272"/>
      <c r="R189" s="272"/>
      <c r="S189" s="272"/>
      <c r="T189" s="272"/>
      <c r="V189" s="274" t="s">
        <v>34</v>
      </c>
      <c r="W189" s="278">
        <v>550</v>
      </c>
      <c r="X189" s="274">
        <v>550</v>
      </c>
      <c r="Y189" s="274">
        <v>10.53</v>
      </c>
      <c r="Z189" s="272"/>
      <c r="AE189" s="272">
        <v>221011</v>
      </c>
      <c r="AF189" s="272" t="s">
        <v>782</v>
      </c>
      <c r="AG189" s="272" t="s">
        <v>830</v>
      </c>
      <c r="AI189" s="48"/>
      <c r="AJ189" s="48"/>
      <c r="AK189" s="48"/>
      <c r="AL189" s="48"/>
    </row>
  </sheetData>
  <mergeCells count="1">
    <mergeCell ref="A1:E1"/>
  </mergeCells>
  <conditionalFormatting sqref="A1">
    <cfRule type="duplicateValues" dxfId="40" priority="40"/>
  </conditionalFormatting>
  <conditionalFormatting sqref="A3">
    <cfRule type="duplicateValues" dxfId="39" priority="52"/>
  </conditionalFormatting>
  <conditionalFormatting sqref="A4:A8">
    <cfRule type="duplicateValues" dxfId="38" priority="73"/>
  </conditionalFormatting>
  <conditionalFormatting sqref="A9:A11">
    <cfRule type="duplicateValues" dxfId="37" priority="36"/>
  </conditionalFormatting>
  <conditionalFormatting sqref="A12:A15">
    <cfRule type="duplicateValues" dxfId="36" priority="35"/>
  </conditionalFormatting>
  <conditionalFormatting sqref="A16:A17">
    <cfRule type="duplicateValues" dxfId="35" priority="34"/>
  </conditionalFormatting>
  <conditionalFormatting sqref="A18">
    <cfRule type="duplicateValues" dxfId="34" priority="33"/>
  </conditionalFormatting>
  <conditionalFormatting sqref="A19">
    <cfRule type="duplicateValues" dxfId="33" priority="32"/>
  </conditionalFormatting>
  <conditionalFormatting sqref="A20:A29">
    <cfRule type="duplicateValues" dxfId="32" priority="31"/>
  </conditionalFormatting>
  <conditionalFormatting sqref="A30:A31">
    <cfRule type="duplicateValues" dxfId="31" priority="30"/>
  </conditionalFormatting>
  <conditionalFormatting sqref="A32:A37">
    <cfRule type="duplicateValues" dxfId="30" priority="29"/>
  </conditionalFormatting>
  <conditionalFormatting sqref="A38">
    <cfRule type="duplicateValues" dxfId="29" priority="28"/>
  </conditionalFormatting>
  <conditionalFormatting sqref="A39:A55">
    <cfRule type="duplicateValues" dxfId="28" priority="27"/>
  </conditionalFormatting>
  <conditionalFormatting sqref="A56">
    <cfRule type="duplicateValues" dxfId="27" priority="26"/>
  </conditionalFormatting>
  <conditionalFormatting sqref="A57:A62">
    <cfRule type="duplicateValues" dxfId="26" priority="25"/>
  </conditionalFormatting>
  <conditionalFormatting sqref="A63:A67">
    <cfRule type="duplicateValues" dxfId="25" priority="24"/>
  </conditionalFormatting>
  <conditionalFormatting sqref="A68:A78">
    <cfRule type="duplicateValues" dxfId="24" priority="23"/>
  </conditionalFormatting>
  <conditionalFormatting sqref="A79:A82">
    <cfRule type="duplicateValues" dxfId="23" priority="22"/>
  </conditionalFormatting>
  <conditionalFormatting sqref="A83:A84">
    <cfRule type="duplicateValues" dxfId="22" priority="21"/>
  </conditionalFormatting>
  <conditionalFormatting sqref="A85:A88">
    <cfRule type="duplicateValues" dxfId="21" priority="20"/>
  </conditionalFormatting>
  <conditionalFormatting sqref="A94:A103">
    <cfRule type="duplicateValues" dxfId="20" priority="19"/>
  </conditionalFormatting>
  <conditionalFormatting sqref="A108:A123">
    <cfRule type="duplicateValues" dxfId="19" priority="18"/>
  </conditionalFormatting>
  <conditionalFormatting sqref="A124 A126">
    <cfRule type="duplicateValues" dxfId="18" priority="17"/>
  </conditionalFormatting>
  <conditionalFormatting sqref="A125">
    <cfRule type="duplicateValues" dxfId="17" priority="16"/>
  </conditionalFormatting>
  <conditionalFormatting sqref="A127:A128">
    <cfRule type="duplicateValues" dxfId="16" priority="15"/>
  </conditionalFormatting>
  <conditionalFormatting sqref="A129:A131">
    <cfRule type="duplicateValues" dxfId="15" priority="14"/>
  </conditionalFormatting>
  <conditionalFormatting sqref="A132">
    <cfRule type="duplicateValues" dxfId="14" priority="13"/>
  </conditionalFormatting>
  <conditionalFormatting sqref="A133:A137">
    <cfRule type="duplicateValues" dxfId="13" priority="12"/>
  </conditionalFormatting>
  <conditionalFormatting sqref="A138">
    <cfRule type="duplicateValues" dxfId="12" priority="11"/>
  </conditionalFormatting>
  <conditionalFormatting sqref="A139">
    <cfRule type="duplicateValues" dxfId="11" priority="10"/>
  </conditionalFormatting>
  <conditionalFormatting sqref="A140:A143">
    <cfRule type="duplicateValues" dxfId="10" priority="9"/>
  </conditionalFormatting>
  <conditionalFormatting sqref="A144:A153">
    <cfRule type="duplicateValues" dxfId="9" priority="8"/>
  </conditionalFormatting>
  <conditionalFormatting sqref="A154:A158">
    <cfRule type="duplicateValues" dxfId="8" priority="7"/>
  </conditionalFormatting>
  <conditionalFormatting sqref="A159:A169">
    <cfRule type="duplicateValues" dxfId="7" priority="6"/>
  </conditionalFormatting>
  <conditionalFormatting sqref="A170:A182">
    <cfRule type="duplicateValues" dxfId="6" priority="5"/>
  </conditionalFormatting>
  <conditionalFormatting sqref="A183">
    <cfRule type="duplicateValues" dxfId="5" priority="4"/>
  </conditionalFormatting>
  <conditionalFormatting sqref="A184:A186">
    <cfRule type="duplicateValues" dxfId="4" priority="3"/>
  </conditionalFormatting>
  <conditionalFormatting sqref="A187">
    <cfRule type="duplicateValues" dxfId="3" priority="2"/>
  </conditionalFormatting>
  <conditionalFormatting sqref="A188:A189">
    <cfRule type="duplicateValues" dxfId="2" priority="1"/>
  </conditionalFormatting>
  <conditionalFormatting sqref="N89:N93 N1:N3 N104:N106 N124:N126 N190:N1048576">
    <cfRule type="duplicateValues" dxfId="1" priority="38"/>
    <cfRule type="duplicateValues" dxfId="0" priority="39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AFA9-E3BA-4EFA-8911-F5054B3EA15E}">
  <dimension ref="A1:J43"/>
  <sheetViews>
    <sheetView zoomScaleNormal="100" workbookViewId="0">
      <selection activeCell="B48" sqref="B48"/>
    </sheetView>
  </sheetViews>
  <sheetFormatPr defaultRowHeight="15"/>
  <cols>
    <col min="2" max="2" width="13" customWidth="1"/>
    <col min="3" max="3" width="28.7109375" customWidth="1"/>
  </cols>
  <sheetData>
    <row r="1" spans="1:10">
      <c r="A1" s="1">
        <v>1</v>
      </c>
      <c r="B1" s="2" t="s">
        <v>549</v>
      </c>
      <c r="C1" s="3" t="s">
        <v>110</v>
      </c>
      <c r="F1" s="235" t="s">
        <v>125</v>
      </c>
      <c r="G1" s="156" t="s">
        <v>794</v>
      </c>
      <c r="H1" s="156"/>
      <c r="I1" s="156"/>
      <c r="J1" s="156"/>
    </row>
    <row r="2" spans="1:10">
      <c r="A2" s="4">
        <v>2</v>
      </c>
      <c r="B2" s="5" t="s">
        <v>550</v>
      </c>
      <c r="C2" s="6" t="s">
        <v>296</v>
      </c>
      <c r="F2" s="235" t="s">
        <v>168</v>
      </c>
      <c r="G2" s="156" t="s">
        <v>795</v>
      </c>
      <c r="H2" s="156"/>
      <c r="I2" s="156"/>
      <c r="J2" s="156"/>
    </row>
    <row r="3" spans="1:10">
      <c r="A3" s="4">
        <v>3</v>
      </c>
      <c r="B3" s="5" t="s">
        <v>551</v>
      </c>
      <c r="C3" s="6" t="s">
        <v>121</v>
      </c>
      <c r="F3" s="235" t="s">
        <v>32</v>
      </c>
      <c r="G3" s="156" t="s">
        <v>796</v>
      </c>
      <c r="H3" s="156"/>
      <c r="I3" s="156"/>
      <c r="J3" s="156"/>
    </row>
    <row r="4" spans="1:10">
      <c r="A4" s="7">
        <v>4</v>
      </c>
      <c r="B4" s="8" t="s">
        <v>552</v>
      </c>
      <c r="C4" s="9" t="s">
        <v>349</v>
      </c>
      <c r="F4" s="235" t="s">
        <v>797</v>
      </c>
      <c r="G4" s="156" t="s">
        <v>798</v>
      </c>
      <c r="H4" s="156"/>
      <c r="I4" s="156"/>
      <c r="J4" s="156"/>
    </row>
    <row r="5" spans="1:10">
      <c r="A5" s="7">
        <v>5</v>
      </c>
      <c r="B5" s="8" t="s">
        <v>553</v>
      </c>
      <c r="C5" s="9" t="s">
        <v>36</v>
      </c>
      <c r="F5" s="235" t="s">
        <v>588</v>
      </c>
      <c r="G5" s="156" t="s">
        <v>799</v>
      </c>
      <c r="H5" s="156"/>
      <c r="I5" s="156"/>
      <c r="J5" s="156"/>
    </row>
    <row r="6" spans="1:10">
      <c r="A6" s="4">
        <v>6</v>
      </c>
      <c r="B6" s="5" t="s">
        <v>554</v>
      </c>
      <c r="C6" s="6" t="s">
        <v>555</v>
      </c>
      <c r="F6" s="235" t="s">
        <v>69</v>
      </c>
      <c r="G6" s="156" t="s">
        <v>800</v>
      </c>
      <c r="H6" s="156"/>
      <c r="I6" s="156"/>
      <c r="J6" s="156"/>
    </row>
    <row r="7" spans="1:10">
      <c r="A7" s="4">
        <v>7</v>
      </c>
      <c r="B7" s="5" t="s">
        <v>556</v>
      </c>
      <c r="C7" s="6" t="s">
        <v>557</v>
      </c>
      <c r="F7" s="235" t="s">
        <v>801</v>
      </c>
      <c r="G7" s="156" t="s">
        <v>793</v>
      </c>
      <c r="H7" s="156"/>
      <c r="I7" s="156"/>
      <c r="J7" s="156"/>
    </row>
    <row r="8" spans="1:10">
      <c r="A8" s="4">
        <v>8</v>
      </c>
      <c r="B8" s="5" t="s">
        <v>125</v>
      </c>
      <c r="C8" s="6" t="s">
        <v>186</v>
      </c>
    </row>
    <row r="9" spans="1:10">
      <c r="A9" s="7">
        <v>9</v>
      </c>
      <c r="B9" s="8" t="s">
        <v>558</v>
      </c>
      <c r="C9" s="9" t="s">
        <v>316</v>
      </c>
    </row>
    <row r="10" spans="1:10">
      <c r="A10" s="7">
        <v>10</v>
      </c>
      <c r="B10" s="8" t="s">
        <v>559</v>
      </c>
      <c r="C10" s="9" t="s">
        <v>560</v>
      </c>
    </row>
    <row r="11" spans="1:10">
      <c r="A11" s="4">
        <v>11</v>
      </c>
      <c r="B11" s="5" t="s">
        <v>561</v>
      </c>
      <c r="C11" s="6" t="s">
        <v>562</v>
      </c>
    </row>
    <row r="12" spans="1:10">
      <c r="A12" s="4">
        <v>12</v>
      </c>
      <c r="B12" s="5" t="s">
        <v>563</v>
      </c>
      <c r="C12" s="6" t="s">
        <v>564</v>
      </c>
    </row>
    <row r="13" spans="1:10">
      <c r="A13" s="4">
        <v>13</v>
      </c>
      <c r="B13" s="5" t="s">
        <v>565</v>
      </c>
      <c r="C13" s="6" t="s">
        <v>343</v>
      </c>
    </row>
    <row r="14" spans="1:10">
      <c r="A14" s="7">
        <v>14</v>
      </c>
      <c r="B14" s="8" t="s">
        <v>566</v>
      </c>
      <c r="C14" s="9" t="s">
        <v>567</v>
      </c>
    </row>
    <row r="15" spans="1:10">
      <c r="A15" s="7">
        <v>15</v>
      </c>
      <c r="B15" s="8" t="s">
        <v>568</v>
      </c>
      <c r="C15" s="9" t="s">
        <v>336</v>
      </c>
    </row>
    <row r="16" spans="1:10">
      <c r="A16" s="4">
        <v>16</v>
      </c>
      <c r="B16" s="5" t="s">
        <v>569</v>
      </c>
      <c r="C16" s="6" t="s">
        <v>570</v>
      </c>
    </row>
    <row r="17" spans="1:3">
      <c r="A17" s="4">
        <v>17</v>
      </c>
      <c r="B17" s="5" t="s">
        <v>571</v>
      </c>
      <c r="C17" s="6" t="s">
        <v>59</v>
      </c>
    </row>
    <row r="18" spans="1:3">
      <c r="A18" s="4">
        <v>18</v>
      </c>
      <c r="B18" s="5" t="s">
        <v>572</v>
      </c>
      <c r="C18" s="6" t="s">
        <v>374</v>
      </c>
    </row>
    <row r="19" spans="1:3">
      <c r="A19" s="7">
        <v>19</v>
      </c>
      <c r="B19" s="8" t="s">
        <v>573</v>
      </c>
      <c r="C19" s="9" t="s">
        <v>574</v>
      </c>
    </row>
    <row r="20" spans="1:3">
      <c r="A20" s="7">
        <v>20</v>
      </c>
      <c r="B20" s="8" t="s">
        <v>575</v>
      </c>
      <c r="C20" s="9" t="s">
        <v>225</v>
      </c>
    </row>
    <row r="21" spans="1:3">
      <c r="A21" s="4">
        <v>21</v>
      </c>
      <c r="B21" s="5" t="s">
        <v>576</v>
      </c>
      <c r="C21" s="6" t="s">
        <v>378</v>
      </c>
    </row>
    <row r="22" spans="1:3">
      <c r="A22" s="4">
        <v>22</v>
      </c>
      <c r="B22" s="5" t="s">
        <v>577</v>
      </c>
      <c r="C22" s="6" t="s">
        <v>325</v>
      </c>
    </row>
    <row r="23" spans="1:3">
      <c r="A23" s="4">
        <v>23</v>
      </c>
      <c r="B23" s="5" t="s">
        <v>578</v>
      </c>
      <c r="C23" s="6" t="s">
        <v>579</v>
      </c>
    </row>
    <row r="24" spans="1:3">
      <c r="A24" s="7">
        <v>24</v>
      </c>
      <c r="B24" s="8" t="s">
        <v>580</v>
      </c>
      <c r="C24" s="9" t="s">
        <v>58</v>
      </c>
    </row>
    <row r="25" spans="1:3">
      <c r="A25" s="7">
        <v>25</v>
      </c>
      <c r="B25" s="8" t="s">
        <v>581</v>
      </c>
      <c r="C25" s="9" t="s">
        <v>321</v>
      </c>
    </row>
    <row r="26" spans="1:3">
      <c r="A26" s="4">
        <v>26</v>
      </c>
      <c r="B26" s="5" t="s">
        <v>582</v>
      </c>
      <c r="C26" s="6" t="s">
        <v>583</v>
      </c>
    </row>
    <row r="27" spans="1:3">
      <c r="A27" s="4">
        <v>27</v>
      </c>
      <c r="B27" s="5" t="s">
        <v>584</v>
      </c>
      <c r="C27" s="6" t="s">
        <v>585</v>
      </c>
    </row>
    <row r="28" spans="1:3">
      <c r="A28" s="4">
        <v>28</v>
      </c>
      <c r="B28" s="5" t="s">
        <v>586</v>
      </c>
      <c r="C28" s="6" t="s">
        <v>587</v>
      </c>
    </row>
    <row r="29" spans="1:3">
      <c r="A29" s="7">
        <v>29</v>
      </c>
      <c r="B29" s="8" t="s">
        <v>588</v>
      </c>
      <c r="C29" s="9" t="s">
        <v>589</v>
      </c>
    </row>
    <row r="30" spans="1:3">
      <c r="A30" s="7">
        <v>30</v>
      </c>
      <c r="B30" s="8" t="s">
        <v>590</v>
      </c>
      <c r="C30" s="9" t="s">
        <v>591</v>
      </c>
    </row>
    <row r="31" spans="1:3">
      <c r="A31" s="4">
        <v>31</v>
      </c>
      <c r="B31" s="5" t="s">
        <v>592</v>
      </c>
      <c r="C31" s="6" t="s">
        <v>593</v>
      </c>
    </row>
    <row r="32" spans="1:3">
      <c r="A32" s="4">
        <v>32</v>
      </c>
      <c r="B32" s="5" t="s">
        <v>118</v>
      </c>
      <c r="C32" s="6" t="s">
        <v>594</v>
      </c>
    </row>
    <row r="33" spans="1:3">
      <c r="A33" s="4">
        <v>33</v>
      </c>
      <c r="B33" s="5" t="s">
        <v>595</v>
      </c>
      <c r="C33" s="6" t="s">
        <v>432</v>
      </c>
    </row>
    <row r="34" spans="1:3">
      <c r="A34" s="7">
        <v>34</v>
      </c>
      <c r="B34" s="8" t="s">
        <v>596</v>
      </c>
      <c r="C34" s="9" t="s">
        <v>597</v>
      </c>
    </row>
    <row r="35" spans="1:3">
      <c r="A35" s="7">
        <v>35</v>
      </c>
      <c r="B35" s="8" t="s">
        <v>598</v>
      </c>
      <c r="C35" s="9" t="s">
        <v>439</v>
      </c>
    </row>
    <row r="36" spans="1:3" ht="15.75" thickBot="1">
      <c r="A36" s="10">
        <v>36</v>
      </c>
      <c r="B36" s="11" t="s">
        <v>599</v>
      </c>
      <c r="C36" s="12" t="s">
        <v>541</v>
      </c>
    </row>
    <row r="37" spans="1:3" ht="15.75" thickBot="1">
      <c r="A37" s="10">
        <v>37</v>
      </c>
      <c r="B37" s="11" t="s">
        <v>600</v>
      </c>
      <c r="C37" s="12" t="s">
        <v>538</v>
      </c>
    </row>
    <row r="38" spans="1:3" ht="15.75" thickBot="1">
      <c r="A38" s="10">
        <v>38</v>
      </c>
      <c r="B38" s="11" t="s">
        <v>601</v>
      </c>
      <c r="C38" s="12" t="s">
        <v>540</v>
      </c>
    </row>
    <row r="39" spans="1:3">
      <c r="A39" s="288">
        <v>39</v>
      </c>
      <c r="B39" s="289" t="s">
        <v>948</v>
      </c>
      <c r="C39" s="290" t="s">
        <v>945</v>
      </c>
    </row>
    <row r="40" spans="1:3">
      <c r="A40" s="288">
        <v>39</v>
      </c>
      <c r="B40" s="289" t="s">
        <v>978</v>
      </c>
      <c r="C40" s="290" t="s">
        <v>977</v>
      </c>
    </row>
    <row r="41" spans="1:3">
      <c r="A41" s="288">
        <v>39</v>
      </c>
      <c r="B41" s="289" t="s">
        <v>1103</v>
      </c>
      <c r="C41" s="290" t="s">
        <v>1045</v>
      </c>
    </row>
    <row r="42" spans="1:3">
      <c r="A42" s="288">
        <v>40</v>
      </c>
      <c r="B42" s="289" t="s">
        <v>579</v>
      </c>
      <c r="C42" s="290" t="s">
        <v>579</v>
      </c>
    </row>
    <row r="43" spans="1:3">
      <c r="A43" s="288">
        <v>41</v>
      </c>
      <c r="B43" s="289" t="s">
        <v>1108</v>
      </c>
      <c r="C43" s="290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CKT Hardware List</vt:lpstr>
      <vt:lpstr>SOLD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SCA</dc:creator>
  <cp:lastModifiedBy>Admin SCA</cp:lastModifiedBy>
  <dcterms:created xsi:type="dcterms:W3CDTF">2025-11-18T08:36:17Z</dcterms:created>
  <dcterms:modified xsi:type="dcterms:W3CDTF">2026-01-08T07:04:01Z</dcterms:modified>
</cp:coreProperties>
</file>